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msgovau-my.sharepoint.com/personal/n_viscarra_aims_gov_au/Documents/Bioerosion 1 Methods/datasets/"/>
    </mc:Choice>
  </mc:AlternateContent>
  <xr:revisionPtr revIDLastSave="189" documentId="8_{E84AF410-CF94-49E0-985F-0032632AA909}" xr6:coauthVersionLast="47" xr6:coauthVersionMax="47" xr10:uidLastSave="{7A6FDEF5-D3B3-4CA4-805A-53B6C688EC6A}"/>
  <bookViews>
    <workbookView xWindow="-108" yWindow="-108" windowWidth="23256" windowHeight="12456" xr2:uid="{11389C02-6848-4DFB-804B-BD927EF1593E}"/>
  </bookViews>
  <sheets>
    <sheet name="precision" sheetId="3" r:id="rId1"/>
    <sheet name="data" sheetId="1" r:id="rId2"/>
    <sheet name="deleted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" i="1" l="1"/>
  <c r="AA8" i="1"/>
  <c r="X18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AA2" i="1"/>
  <c r="AA3" i="1"/>
  <c r="AA4" i="1"/>
  <c r="AA5" i="1"/>
  <c r="AA6" i="1"/>
  <c r="AA7" i="1"/>
  <c r="AA9" i="1"/>
  <c r="AA10" i="1"/>
  <c r="AA11" i="1"/>
  <c r="AA12" i="1"/>
  <c r="AA13" i="1"/>
  <c r="AA14" i="1"/>
  <c r="AA15" i="1"/>
  <c r="AA16" i="1"/>
  <c r="AA17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</calcChain>
</file>

<file path=xl/sharedStrings.xml><?xml version="1.0" encoding="utf-8"?>
<sst xmlns="http://schemas.openxmlformats.org/spreadsheetml/2006/main" count="1348" uniqueCount="115">
  <si>
    <t>complete_code</t>
  </si>
  <si>
    <t>cluster</t>
  </si>
  <si>
    <t>reef</t>
  </si>
  <si>
    <t>site</t>
  </si>
  <si>
    <t>zone</t>
  </si>
  <si>
    <t>class</t>
  </si>
  <si>
    <t>critang</t>
  </si>
  <si>
    <t>maxp</t>
  </si>
  <si>
    <t>maxn</t>
  </si>
  <si>
    <t>avet</t>
  </si>
  <si>
    <t>avep</t>
  </si>
  <si>
    <t>aven</t>
  </si>
  <si>
    <t>stdev</t>
  </si>
  <si>
    <t>rms</t>
  </si>
  <si>
    <t>morphology</t>
  </si>
  <si>
    <t>2022_id</t>
  </si>
  <si>
    <t>2023_id</t>
  </si>
  <si>
    <t>CBHE_BA2D_P1</t>
  </si>
  <si>
    <t>Capricorn Bunker</t>
  </si>
  <si>
    <t>Heron</t>
  </si>
  <si>
    <t>Back2</t>
  </si>
  <si>
    <t>Deep</t>
  </si>
  <si>
    <t>Acor</t>
  </si>
  <si>
    <t>Corymbose/ Digitate Acropora</t>
  </si>
  <si>
    <t>point for discussion: even if volume reduce with time (erosion), the surface area may increase due to hole generation</t>
  </si>
  <si>
    <t>CBHE_BA2D_P3</t>
  </si>
  <si>
    <t>Atab</t>
  </si>
  <si>
    <t>Tabular Acropora</t>
  </si>
  <si>
    <t>CBHE_BA2D_P4</t>
  </si>
  <si>
    <t>Shys</t>
  </si>
  <si>
    <t>Corymbose non-Acropora brooder</t>
  </si>
  <si>
    <t>CBHE_BA2S_P1</t>
  </si>
  <si>
    <t>Shallow</t>
  </si>
  <si>
    <t>CBHE_BA2S_P3</t>
  </si>
  <si>
    <t>CBHE_BA2S_P4</t>
  </si>
  <si>
    <t>CBHE_FR1D_P1</t>
  </si>
  <si>
    <t>Front1</t>
  </si>
  <si>
    <t>Pdam</t>
  </si>
  <si>
    <t>CBHE_FR1D_P2</t>
  </si>
  <si>
    <t>Plat</t>
  </si>
  <si>
    <t>Small massive/sub-massive</t>
  </si>
  <si>
    <t>CBHE_FR1D_P4</t>
  </si>
  <si>
    <t>CBHE_FR1S_P1</t>
  </si>
  <si>
    <t>Spis</t>
  </si>
  <si>
    <t>CBHE_FR1S_P2</t>
  </si>
  <si>
    <t>CBHE_FR1S_P4</t>
  </si>
  <si>
    <t>CBHE_FR2D_P1</t>
  </si>
  <si>
    <t>Front2</t>
  </si>
  <si>
    <t>Adgt</t>
  </si>
  <si>
    <t>CBHE_FR2D_P3</t>
  </si>
  <si>
    <t>Asol</t>
  </si>
  <si>
    <t>CBHE_FR2D_P4</t>
  </si>
  <si>
    <t>CBHE_FR2S_P2</t>
  </si>
  <si>
    <t>Aten</t>
  </si>
  <si>
    <t>CBHE_FR2S_P3</t>
  </si>
  <si>
    <t>CBHE_FR2S_P4</t>
  </si>
  <si>
    <t>CBLM_BA2S_P1</t>
  </si>
  <si>
    <t>Lady Musgrave</t>
  </si>
  <si>
    <t>Ahya</t>
  </si>
  <si>
    <t>Ahum</t>
  </si>
  <si>
    <t>CBLM_BA2S_P4</t>
  </si>
  <si>
    <t>CBLM_FL1S_P2</t>
  </si>
  <si>
    <t>Flank1</t>
  </si>
  <si>
    <t>CBLM_FL1S_P4</t>
  </si>
  <si>
    <t>The model for 2022 did not reconstructed properly, therefore, there are a lots of parts that cannt be compared with 2023</t>
  </si>
  <si>
    <t>CBLM_FL2S_P1</t>
  </si>
  <si>
    <t>Flank2</t>
  </si>
  <si>
    <t>Aabr</t>
  </si>
  <si>
    <t>CBLM_FL2S_P2</t>
  </si>
  <si>
    <t>Acyt</t>
  </si>
  <si>
    <t>CBLM_FL2S_P3</t>
  </si>
  <si>
    <t>CBLM_FL2S_P4</t>
  </si>
  <si>
    <t>CBLM_LA1S_P1</t>
  </si>
  <si>
    <t>Lagoon1</t>
  </si>
  <si>
    <t>CBLM_LA1S_P2</t>
  </si>
  <si>
    <t>Gedw</t>
  </si>
  <si>
    <t>CBLM_LA1S_P3</t>
  </si>
  <si>
    <t>Notes</t>
  </si>
  <si>
    <t>Acropora abrotanoides</t>
  </si>
  <si>
    <t>Error assessment</t>
  </si>
  <si>
    <t>site_number</t>
  </si>
  <si>
    <t>skeleton_number</t>
  </si>
  <si>
    <t>exposure</t>
  </si>
  <si>
    <t>Back</t>
  </si>
  <si>
    <t>Front</t>
  </si>
  <si>
    <t>Flank</t>
  </si>
  <si>
    <t>Lagoon</t>
  </si>
  <si>
    <t>V_2022</t>
  </si>
  <si>
    <t>V_2023</t>
  </si>
  <si>
    <t>SA_2022</t>
  </si>
  <si>
    <t>SA_2023</t>
  </si>
  <si>
    <t>PCV</t>
  </si>
  <si>
    <t>PCA</t>
  </si>
  <si>
    <t>2024_id</t>
  </si>
  <si>
    <t>class2</t>
  </si>
  <si>
    <t>skeleton</t>
  </si>
  <si>
    <t>Acor10</t>
  </si>
  <si>
    <t>Atab54</t>
  </si>
  <si>
    <t>Pdam64</t>
  </si>
  <si>
    <t>Spis22</t>
  </si>
  <si>
    <t>Acor55</t>
  </si>
  <si>
    <t>Pdam13</t>
  </si>
  <si>
    <t>Acor26</t>
  </si>
  <si>
    <t>Atab192</t>
  </si>
  <si>
    <t>version</t>
  </si>
  <si>
    <t>code</t>
  </si>
  <si>
    <t>NA</t>
  </si>
  <si>
    <t>sa</t>
  </si>
  <si>
    <t>vol</t>
  </si>
  <si>
    <t>sa_plane</t>
  </si>
  <si>
    <t>vol_plane</t>
  </si>
  <si>
    <t>Corymbose, Digitate Acropora</t>
  </si>
  <si>
    <t>Branching non-Acropora</t>
  </si>
  <si>
    <t>Acor37_A</t>
  </si>
  <si>
    <t>Acor37_B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</si>
</sst>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"/>
    <numFmt numFmtId="166" formatCode="0.0"/>
    <numFmt numFmtId="167" formatCode="0.00000000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</font>
    <font>
      <sz val="11"/>
      <color theme="5" tint="0.7999816888943144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0" fontId="0" fillId="0" borderId="9" xfId="0" applyBorder="1"/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49" fontId="0" fillId="4" borderId="12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64" fontId="0" fillId="4" borderId="12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49" fontId="0" fillId="5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0" fontId="0" fillId="0" borderId="5" xfId="0" applyBorder="1"/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49" fontId="0" fillId="5" borderId="8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0" fontId="2" fillId="0" borderId="9" xfId="0" applyFont="1" applyBorder="1"/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49" fontId="0" fillId="3" borderId="8" xfId="0" applyNumberForma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9" fontId="0" fillId="5" borderId="12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49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7" xfId="0" applyBorder="1"/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4" fontId="0" fillId="3" borderId="14" xfId="0" applyNumberForma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2" fillId="0" borderId="20" xfId="0" applyFont="1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2" fillId="0" borderId="21" xfId="0" applyFont="1" applyBorder="1"/>
    <xf numFmtId="0" fontId="0" fillId="0" borderId="22" xfId="0" applyBorder="1"/>
    <xf numFmtId="0" fontId="0" fillId="0" borderId="23" xfId="0" applyBorder="1"/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65" fontId="0" fillId="0" borderId="0" xfId="0" applyNumberFormat="1"/>
    <xf numFmtId="165" fontId="4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165" fontId="6" fillId="0" borderId="0" xfId="0" applyNumberFormat="1" applyFont="1" applyAlignment="1">
      <alignment horizontal="center" vertical="center"/>
    </xf>
    <xf numFmtId="0" fontId="0" fillId="6" borderId="0" xfId="0" applyFill="1" applyAlignment="1">
      <alignment horizontal="center"/>
    </xf>
    <xf numFmtId="0" fontId="7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47">
    <dxf>
      <fill>
        <patternFill patternType="none">
          <fgColor indexed="64"/>
          <bgColor auto="1"/>
        </patternFill>
      </fill>
    </dxf>
    <dxf>
      <numFmt numFmtId="165" formatCode="0.000000"/>
      <fill>
        <patternFill patternType="none">
          <fgColor indexed="64"/>
          <bgColor auto="1"/>
        </patternFill>
      </fill>
    </dxf>
    <dxf>
      <numFmt numFmtId="165" formatCode="0.000000"/>
      <fill>
        <patternFill patternType="none">
          <fgColor indexed="64"/>
          <bgColor auto="1"/>
        </patternFill>
      </fill>
    </dxf>
    <dxf>
      <numFmt numFmtId="165" formatCode="0.000000"/>
      <fill>
        <patternFill patternType="none">
          <fgColor indexed="64"/>
          <bgColor auto="1"/>
        </patternFill>
      </fill>
    </dxf>
    <dxf>
      <numFmt numFmtId="165" formatCode="0.000000"/>
      <fill>
        <patternFill patternType="none">
          <fgColor indexed="64"/>
          <bgColor auto="1"/>
        </patternFill>
      </fill>
    </dxf>
    <dxf>
      <numFmt numFmtId="165" formatCode="0.000000"/>
      <fill>
        <patternFill patternType="none">
          <fgColor indexed="64"/>
          <bgColor auto="1"/>
        </patternFill>
      </fill>
    </dxf>
    <dxf>
      <numFmt numFmtId="165" formatCode="0.000000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0.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6" formatCode="0.0"/>
      <alignment horizontal="center" vertical="center" textRotation="0" wrapText="0" indent="0" justifyLastLine="0" shrinkToFit="0" readingOrder="0"/>
    </dxf>
    <dxf>
      <numFmt numFmtId="165" formatCode="0.000000"/>
      <alignment horizontal="center" vertical="bottom" textRotation="0" wrapText="0" indent="0" justifyLastLine="0" shrinkToFit="0" readingOrder="0"/>
    </dxf>
    <dxf>
      <font>
        <color auto="1"/>
      </font>
      <numFmt numFmtId="167" formatCode="0.00000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0.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0.0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0.00000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3051E5-B36C-43FA-93A7-B7B3D769EDBB}" name="Table2" displayName="Table2" ref="A1:P101" totalsRowShown="0" headerRowDxfId="46">
  <autoFilter ref="A1:P101" xr:uid="{7A3051E5-B36C-43FA-93A7-B7B3D769EDBB}">
    <filterColumn colId="2">
      <filters>
        <filter val="Corymbose, Digitate Acropora"/>
      </filters>
    </filterColumn>
  </autoFilter>
  <tableColumns count="16">
    <tableColumn id="2" xr3:uid="{A5A1A761-A799-41F5-86EA-64607E21758F}" name="code" dataDxfId="45"/>
    <tableColumn id="8" xr3:uid="{9053EF92-7007-4E66-8B29-DFA9796E1B36}" name="skeleton" dataDxfId="44"/>
    <tableColumn id="1" xr3:uid="{002E0D62-C863-4564-BADE-B61AB8079BEB}" name="morphology" dataDxfId="43"/>
    <tableColumn id="3" xr3:uid="{309C4A25-22B9-4E0C-997E-9CCE5435B009}" name="version" dataDxfId="42"/>
    <tableColumn id="6" xr3:uid="{9A74DE5D-BF22-4C26-9133-461B0CE9BC54}" name="sa" dataDxfId="41"/>
    <tableColumn id="18" xr3:uid="{0F54DAFA-BDFD-46D5-810D-7C47645C8959}" name="sa_plane" dataDxfId="40"/>
    <tableColumn id="4" xr3:uid="{819FD47F-3D49-4383-9996-84FB6CD51A9E}" name="vol" dataDxfId="39"/>
    <tableColumn id="5" xr3:uid="{344BF228-B695-4319-B820-061F72F267FB}" name="vol_plane" dataDxfId="38"/>
    <tableColumn id="10" xr3:uid="{00532F1D-0CCD-4958-BC3B-A74C43D81751}" name="critang" dataDxfId="37"/>
    <tableColumn id="11" xr3:uid="{69491D68-7885-4778-B7FE-19741C092A92}" name="maxp" dataDxfId="36"/>
    <tableColumn id="12" xr3:uid="{C3948764-47C6-4FAB-A861-22D07CEB5B0F}" name="maxn" dataDxfId="35"/>
    <tableColumn id="13" xr3:uid="{A4F6142F-D5E4-411F-AD42-EFA83CC5C37C}" name="avet" dataDxfId="34"/>
    <tableColumn id="14" xr3:uid="{5CCEEEBB-98C9-4053-AD75-5ED38C7C3C47}" name="avep" dataDxfId="33"/>
    <tableColumn id="15" xr3:uid="{2D451ED6-9A0D-4A1F-ABD0-1D7973CDDF0E}" name="aven" dataDxfId="32"/>
    <tableColumn id="16" xr3:uid="{0310D09D-4017-4C1E-B5D0-167DDAA5F1A6}" name="stdev" dataDxfId="31"/>
    <tableColumn id="17" xr3:uid="{90E49A1E-2877-4C8F-9D9C-287FA0CB5D73}" name="rms" dataDxfId="3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5D3160-3C7B-4E0D-AEF6-BB4165A220AD}" name="Table1" displayName="Table1" ref="A1:AB61" totalsRowShown="0" headerRowDxfId="29" dataDxfId="28">
  <autoFilter ref="A1:AB61" xr:uid="{675D3160-3C7B-4E0D-AEF6-BB4165A220AD}"/>
  <sortState xmlns:xlrd2="http://schemas.microsoft.com/office/spreadsheetml/2017/richdata2" ref="A2:AB61">
    <sortCondition ref="A1:A61"/>
  </sortState>
  <tableColumns count="28">
    <tableColumn id="1" xr3:uid="{1B6A3E00-2608-4582-A956-CAC80FCB4CA7}" name="complete_code" dataDxfId="27"/>
    <tableColumn id="2" xr3:uid="{27540995-0A21-4940-BE95-8DCA798FD084}" name="cluster" dataDxfId="26"/>
    <tableColumn id="3" xr3:uid="{FC307813-E45D-49E9-BA00-A3BCDB71FD88}" name="reef" dataDxfId="25"/>
    <tableColumn id="26" xr3:uid="{38D9C233-4C48-4D77-8106-86C2A3E01CB8}" name="site_number" dataDxfId="24"/>
    <tableColumn id="4" xr3:uid="{EC4D1A1B-714F-41B7-A4C8-C354F32C8EF3}" name="site" dataDxfId="23"/>
    <tableColumn id="28" xr3:uid="{59C7A203-7126-4847-B6CB-E4FC28516AB7}" name="exposure" dataDxfId="22"/>
    <tableColumn id="5" xr3:uid="{5FD156C5-F153-4038-85E5-5F5CF58A4995}" name="zone" dataDxfId="21"/>
    <tableColumn id="27" xr3:uid="{5E546C15-7248-4E54-B429-8DE1F1871160}" name="skeleton_number" dataDxfId="20"/>
    <tableColumn id="7" xr3:uid="{E7AB08BC-CB2E-478C-B586-A3BF4619E76C}" name="critang" dataDxfId="19"/>
    <tableColumn id="8" xr3:uid="{A313C50B-63B7-44A9-8EE6-7C2661CF4DC7}" name="maxp" dataDxfId="18"/>
    <tableColumn id="9" xr3:uid="{03B0C3DB-B2E7-408B-B2E5-C80C59CD55E3}" name="maxn" dataDxfId="17"/>
    <tableColumn id="10" xr3:uid="{FF388F3B-BF6F-45AE-941B-86EE9156CCEF}" name="avet" dataDxfId="16"/>
    <tableColumn id="11" xr3:uid="{859335FA-BD5A-4705-82D6-9462E7012586}" name="avep" dataDxfId="15"/>
    <tableColumn id="12" xr3:uid="{8C9DB8C1-A57C-40D5-A797-EBC7F99A6A26}" name="aven" dataDxfId="14"/>
    <tableColumn id="13" xr3:uid="{6A19124C-F49B-49E5-8A98-D4B107E7405B}" name="stdev" dataDxfId="13"/>
    <tableColumn id="14" xr3:uid="{5858CC1A-5C51-4E66-A07C-942E4FEDDAAA}" name="rms" dataDxfId="12"/>
    <tableColumn id="15" xr3:uid="{4978990D-971E-426B-89EF-F5F0C8A5F215}" name="morphology" dataDxfId="11"/>
    <tableColumn id="25" xr3:uid="{9CD411C4-4EC2-4537-90C1-14A88C688FD5}" name="class2" dataDxfId="10"/>
    <tableColumn id="16" xr3:uid="{E4441DD0-FF15-4A2F-A158-774A04DD78AE}" name="2022_id" dataDxfId="9"/>
    <tableColumn id="17" xr3:uid="{85B5A9A2-35D5-4AD7-9565-4D9AB4232352}" name="2023_id" dataDxfId="8"/>
    <tableColumn id="30" xr3:uid="{B8DB915F-82B8-4DC5-8939-F0E46C0EF486}" name="2024_id" dataDxfId="7"/>
    <tableColumn id="18" xr3:uid="{78287260-3A94-43CB-86EE-38A20146791C}" name="V_2022" dataDxfId="6"/>
    <tableColumn id="19" xr3:uid="{8EE9DE42-7612-46E0-AB2F-AAACB532B121}" name="V_2023" dataDxfId="5"/>
    <tableColumn id="20" xr3:uid="{739DA0E0-6094-4F6D-9D7A-A5699C9E8D3D}" name="PCV" dataDxfId="4">
      <calculatedColumnFormula>(Table1[[#This Row],[V_2023]]-Table1[[#This Row],[V_2022]])/Table1[[#This Row],[V_2022]]</calculatedColumnFormula>
    </tableColumn>
    <tableColumn id="21" xr3:uid="{8E6BE4F9-536B-4FBA-97BF-82263AE033E8}" name="SA_2022" dataDxfId="3"/>
    <tableColumn id="22" xr3:uid="{CE8EF0CE-8E1A-4F9A-B666-83FEE8F634DE}" name="SA_2023" dataDxfId="2"/>
    <tableColumn id="23" xr3:uid="{FE7C24A4-C3B7-4149-B0A5-0B2D9EB7FA95}" name="PCA" dataDxfId="1">
      <calculatedColumnFormula>(Table1[[#This Row],[SA_2023]]-Table1[[#This Row],[SA_2022]])/Table1[[#This Row],[SA_2022]]</calculatedColumnFormula>
    </tableColumn>
    <tableColumn id="24" xr3:uid="{807CF0DD-B0BA-4CA7-86B6-B4B16888459E}" name="Not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3B80-4FBF-4E1C-9545-09AF5036877D}">
  <dimension ref="A1:Q102"/>
  <sheetViews>
    <sheetView tabSelected="1" workbookViewId="0">
      <selection activeCell="B43" sqref="B43"/>
    </sheetView>
  </sheetViews>
  <sheetFormatPr defaultRowHeight="14.4" x14ac:dyDescent="0.3"/>
  <cols>
    <col min="1" max="1" width="13.77734375" bestFit="1" customWidth="1"/>
    <col min="2" max="2" width="12.5546875" bestFit="1" customWidth="1"/>
    <col min="3" max="3" width="25.21875" bestFit="1" customWidth="1"/>
    <col min="4" max="4" width="11.44140625" bestFit="1" customWidth="1"/>
    <col min="5" max="5" width="7.33203125" bestFit="1" customWidth="1"/>
    <col min="6" max="6" width="12.77734375" bestFit="1" customWidth="1"/>
    <col min="7" max="7" width="11.5546875" bestFit="1" customWidth="1"/>
    <col min="8" max="8" width="13.33203125" bestFit="1" customWidth="1"/>
    <col min="9" max="9" width="11.21875" bestFit="1" customWidth="1"/>
    <col min="10" max="10" width="9" bestFit="1" customWidth="1"/>
    <col min="11" max="11" width="9.44140625" bestFit="1" customWidth="1"/>
    <col min="12" max="12" width="9.33203125" bestFit="1" customWidth="1"/>
    <col min="13" max="13" width="10" bestFit="1" customWidth="1"/>
    <col min="14" max="14" width="8.6640625" bestFit="1" customWidth="1"/>
    <col min="15" max="15" width="10.5546875" customWidth="1"/>
  </cols>
  <sheetData>
    <row r="1" spans="1:17" s="92" customFormat="1" x14ac:dyDescent="0.3">
      <c r="A1" s="95" t="s">
        <v>105</v>
      </c>
      <c r="B1" s="95" t="s">
        <v>95</v>
      </c>
      <c r="C1" s="95" t="s">
        <v>14</v>
      </c>
      <c r="D1" s="95" t="s">
        <v>104</v>
      </c>
      <c r="E1" s="95" t="s">
        <v>107</v>
      </c>
      <c r="F1" s="105" t="s">
        <v>109</v>
      </c>
      <c r="G1" s="95" t="s">
        <v>108</v>
      </c>
      <c r="H1" s="95" t="s">
        <v>110</v>
      </c>
      <c r="I1" s="95" t="s">
        <v>6</v>
      </c>
      <c r="J1" s="95" t="s">
        <v>7</v>
      </c>
      <c r="K1" s="95" t="s">
        <v>8</v>
      </c>
      <c r="L1" s="95" t="s">
        <v>9</v>
      </c>
      <c r="M1" s="95" t="s">
        <v>10</v>
      </c>
      <c r="N1" s="95" t="s">
        <v>11</v>
      </c>
      <c r="O1" s="95" t="s">
        <v>12</v>
      </c>
      <c r="P1" s="95" t="s">
        <v>13</v>
      </c>
      <c r="Q1" s="95"/>
    </row>
    <row r="2" spans="1:17" s="92" customFormat="1" x14ac:dyDescent="0.3">
      <c r="A2" s="89" t="s">
        <v>17</v>
      </c>
      <c r="B2" s="89" t="s">
        <v>96</v>
      </c>
      <c r="C2" s="92" t="s">
        <v>111</v>
      </c>
      <c r="D2" s="93">
        <v>1</v>
      </c>
      <c r="E2" s="94">
        <v>0.1709</v>
      </c>
      <c r="F2" s="114">
        <v>0.1108</v>
      </c>
      <c r="G2" s="108">
        <v>9.7266099999999999E-4</v>
      </c>
      <c r="H2" s="113">
        <v>4.1899999999999999E-4</v>
      </c>
      <c r="I2" s="107" t="s">
        <v>106</v>
      </c>
      <c r="J2" s="91" t="s">
        <v>106</v>
      </c>
      <c r="K2" s="91" t="s">
        <v>106</v>
      </c>
      <c r="L2" s="91" t="s">
        <v>106</v>
      </c>
      <c r="M2" s="91" t="s">
        <v>106</v>
      </c>
      <c r="N2" s="91" t="s">
        <v>106</v>
      </c>
      <c r="O2" s="91" t="s">
        <v>106</v>
      </c>
      <c r="P2" s="91" t="s">
        <v>106</v>
      </c>
    </row>
    <row r="3" spans="1:17" x14ac:dyDescent="0.3">
      <c r="A3" s="89" t="s">
        <v>17</v>
      </c>
      <c r="B3" s="89" t="s">
        <v>96</v>
      </c>
      <c r="C3" s="92" t="s">
        <v>111</v>
      </c>
      <c r="D3" s="93">
        <v>2</v>
      </c>
      <c r="E3" s="94">
        <v>0.1201</v>
      </c>
      <c r="F3" s="114">
        <v>7.4700000000000003E-2</v>
      </c>
      <c r="G3" s="108">
        <v>1.273E-3</v>
      </c>
      <c r="H3" s="113">
        <v>7.1299999999999998E-4</v>
      </c>
      <c r="I3" s="107">
        <v>45</v>
      </c>
      <c r="J3" s="94">
        <v>1.3100000000000001E-2</v>
      </c>
      <c r="K3" s="94">
        <v>-1.3100000000000001E-2</v>
      </c>
      <c r="L3" s="94">
        <v>1.6999999999999999E-3</v>
      </c>
      <c r="M3" s="94">
        <v>2.3E-3</v>
      </c>
      <c r="N3" s="94">
        <v>2.3E-3</v>
      </c>
      <c r="O3" s="94">
        <v>2.7000000000000001E-3</v>
      </c>
      <c r="P3" s="94">
        <v>3.2000000000000002E-3</v>
      </c>
    </row>
    <row r="4" spans="1:17" x14ac:dyDescent="0.3">
      <c r="A4" s="89" t="s">
        <v>17</v>
      </c>
      <c r="B4" s="89" t="s">
        <v>96</v>
      </c>
      <c r="C4" s="92" t="s">
        <v>111</v>
      </c>
      <c r="D4" s="93">
        <v>3</v>
      </c>
      <c r="E4" s="94">
        <v>0.1517</v>
      </c>
      <c r="F4" s="114">
        <v>0.10150000000000001</v>
      </c>
      <c r="G4" s="108">
        <v>1.0300000000000001E-3</v>
      </c>
      <c r="H4" s="113">
        <v>5.62E-4</v>
      </c>
      <c r="I4" s="107">
        <v>45</v>
      </c>
      <c r="J4" s="94">
        <v>1.3100000000000001E-2</v>
      </c>
      <c r="K4" s="94">
        <v>-1.3100000000000001E-2</v>
      </c>
      <c r="L4" s="94">
        <v>1.4E-3</v>
      </c>
      <c r="M4" s="94">
        <v>2.5999999999999999E-3</v>
      </c>
      <c r="N4" s="94">
        <v>-2.8E-3</v>
      </c>
      <c r="O4" s="94">
        <v>3.3E-3</v>
      </c>
      <c r="P4" s="94">
        <v>3.5000000000000001E-3</v>
      </c>
    </row>
    <row r="5" spans="1:17" ht="15.45" customHeight="1" x14ac:dyDescent="0.3">
      <c r="A5" s="89" t="s">
        <v>17</v>
      </c>
      <c r="B5" s="89" t="s">
        <v>96</v>
      </c>
      <c r="C5" s="92" t="s">
        <v>111</v>
      </c>
      <c r="D5" s="93">
        <v>4</v>
      </c>
      <c r="E5" s="94">
        <v>0.11559999999999999</v>
      </c>
      <c r="F5" s="114">
        <v>7.9399999999999998E-2</v>
      </c>
      <c r="G5" s="108">
        <v>8.9263999999999999E-4</v>
      </c>
      <c r="H5" s="113">
        <v>5.9400000000000002E-4</v>
      </c>
      <c r="I5" s="107">
        <v>45</v>
      </c>
      <c r="J5" s="94">
        <v>1.3100000000000001E-2</v>
      </c>
      <c r="K5" s="94">
        <v>-1.3100000000000001E-2</v>
      </c>
      <c r="L5" s="94">
        <v>1.1000000000000001E-3</v>
      </c>
      <c r="M5" s="94">
        <v>2.5999999999999999E-3</v>
      </c>
      <c r="N5" s="94">
        <v>-2.3999999999999998E-3</v>
      </c>
      <c r="O5" s="94">
        <v>3.0999999999999999E-3</v>
      </c>
      <c r="P5" s="94">
        <v>3.3E-3</v>
      </c>
    </row>
    <row r="6" spans="1:17" x14ac:dyDescent="0.3">
      <c r="A6" s="89" t="s">
        <v>17</v>
      </c>
      <c r="B6" s="89" t="s">
        <v>96</v>
      </c>
      <c r="C6" s="92" t="s">
        <v>111</v>
      </c>
      <c r="D6" s="93">
        <v>5</v>
      </c>
      <c r="E6" s="94">
        <v>0.15679999999999999</v>
      </c>
      <c r="F6" s="114">
        <v>0.1085</v>
      </c>
      <c r="G6" s="108">
        <v>7.1943799999999998E-4</v>
      </c>
      <c r="H6" s="113">
        <v>3.6600000000000001E-4</v>
      </c>
      <c r="I6" s="107">
        <v>45</v>
      </c>
      <c r="J6" s="94">
        <v>1.2999999999999999E-2</v>
      </c>
      <c r="K6" s="94">
        <v>-1.3100000000000001E-2</v>
      </c>
      <c r="L6" s="94">
        <v>-2.0000000000000001E-4</v>
      </c>
      <c r="M6" s="94">
        <v>1E-3</v>
      </c>
      <c r="N6" s="94">
        <v>-1.1999999999999999E-3</v>
      </c>
      <c r="O6" s="94">
        <v>1.6999999999999999E-3</v>
      </c>
      <c r="P6" s="94">
        <v>1.6999999999999999E-3</v>
      </c>
    </row>
    <row r="7" spans="1:17" x14ac:dyDescent="0.3">
      <c r="A7" s="89" t="s">
        <v>17</v>
      </c>
      <c r="B7" s="89" t="s">
        <v>96</v>
      </c>
      <c r="C7" s="92" t="s">
        <v>111</v>
      </c>
      <c r="D7" s="93">
        <v>6</v>
      </c>
      <c r="E7" s="94">
        <v>0.17530000000000001</v>
      </c>
      <c r="F7" s="114">
        <v>0.11650000000000001</v>
      </c>
      <c r="G7" s="108">
        <v>1.2780000000000001E-3</v>
      </c>
      <c r="H7" s="113">
        <v>5.7600000000000001E-4</v>
      </c>
      <c r="I7" s="107">
        <v>45</v>
      </c>
      <c r="J7" s="94">
        <v>1.3100000000000001E-2</v>
      </c>
      <c r="K7" s="94">
        <v>-1.3100000000000001E-2</v>
      </c>
      <c r="L7" s="94">
        <v>1.6000000000000001E-3</v>
      </c>
      <c r="M7" s="94">
        <v>2.5999999999999999E-3</v>
      </c>
      <c r="N7" s="94">
        <v>-2.0999999999999999E-3</v>
      </c>
      <c r="O7" s="94">
        <v>2.7000000000000001E-3</v>
      </c>
      <c r="P7" s="94">
        <v>3.2000000000000002E-3</v>
      </c>
    </row>
    <row r="8" spans="1:17" x14ac:dyDescent="0.3">
      <c r="A8" s="89" t="s">
        <v>17</v>
      </c>
      <c r="B8" s="89" t="s">
        <v>96</v>
      </c>
      <c r="C8" s="92" t="s">
        <v>111</v>
      </c>
      <c r="D8" s="93">
        <v>7</v>
      </c>
      <c r="E8" s="94">
        <v>0.16200000000000001</v>
      </c>
      <c r="F8" s="114">
        <v>0.1082</v>
      </c>
      <c r="G8" s="108">
        <v>9.9837199999999997E-4</v>
      </c>
      <c r="H8" s="113">
        <v>4.5800000000000002E-4</v>
      </c>
      <c r="I8" s="107">
        <v>45</v>
      </c>
      <c r="J8" s="94">
        <v>1.29E-2</v>
      </c>
      <c r="K8" s="94">
        <v>-1.3100000000000001E-2</v>
      </c>
      <c r="L8" s="94">
        <v>4.0000000000000002E-4</v>
      </c>
      <c r="M8" s="94">
        <v>1.9E-3</v>
      </c>
      <c r="N8" s="94">
        <v>-1.6000000000000001E-3</v>
      </c>
      <c r="O8" s="94">
        <v>2.2000000000000001E-3</v>
      </c>
      <c r="P8" s="94">
        <v>2.2000000000000001E-3</v>
      </c>
    </row>
    <row r="9" spans="1:17" x14ac:dyDescent="0.3">
      <c r="A9" s="89" t="s">
        <v>17</v>
      </c>
      <c r="B9" s="89" t="s">
        <v>96</v>
      </c>
      <c r="C9" s="92" t="s">
        <v>111</v>
      </c>
      <c r="D9" s="93">
        <v>8</v>
      </c>
      <c r="E9" s="94">
        <v>0.1159</v>
      </c>
      <c r="F9" s="114">
        <v>8.1600000000000006E-2</v>
      </c>
      <c r="G9" s="108">
        <v>8.9134999999999995E-4</v>
      </c>
      <c r="H9" s="113">
        <v>6.0700000000000001E-4</v>
      </c>
      <c r="I9" s="107">
        <v>45</v>
      </c>
      <c r="J9" s="94">
        <v>1.3100000000000001E-2</v>
      </c>
      <c r="K9" s="94">
        <v>-1.3100000000000001E-2</v>
      </c>
      <c r="L9" s="94">
        <v>1.1999999999999999E-3</v>
      </c>
      <c r="M9" s="94">
        <v>2.5000000000000001E-3</v>
      </c>
      <c r="N9" s="94">
        <v>-2.2000000000000001E-3</v>
      </c>
      <c r="O9" s="94">
        <v>2.8999999999999998E-3</v>
      </c>
      <c r="P9" s="94">
        <v>3.0999999999999999E-3</v>
      </c>
    </row>
    <row r="10" spans="1:17" x14ac:dyDescent="0.3">
      <c r="A10" s="89" t="s">
        <v>17</v>
      </c>
      <c r="B10" s="89" t="s">
        <v>96</v>
      </c>
      <c r="C10" s="92" t="s">
        <v>111</v>
      </c>
      <c r="D10" s="93">
        <v>9</v>
      </c>
      <c r="E10" s="94">
        <v>0.161</v>
      </c>
      <c r="F10" s="114">
        <v>0.1094</v>
      </c>
      <c r="G10" s="108">
        <v>1.155E-3</v>
      </c>
      <c r="H10" s="113">
        <v>5.5599999999999996E-4</v>
      </c>
      <c r="I10" s="107">
        <v>45</v>
      </c>
      <c r="J10" s="94">
        <v>1.3100000000000001E-2</v>
      </c>
      <c r="K10" s="94">
        <v>-1.3100000000000001E-2</v>
      </c>
      <c r="L10" s="94">
        <v>1.1999999999999999E-3</v>
      </c>
      <c r="M10" s="94">
        <v>1.8E-3</v>
      </c>
      <c r="N10" s="94">
        <v>-1.6999999999999999E-3</v>
      </c>
      <c r="O10" s="94">
        <v>2.2000000000000001E-3</v>
      </c>
      <c r="P10" s="94">
        <v>2.5000000000000001E-3</v>
      </c>
    </row>
    <row r="11" spans="1:17" x14ac:dyDescent="0.3">
      <c r="A11" s="89" t="s">
        <v>17</v>
      </c>
      <c r="B11" s="89" t="s">
        <v>96</v>
      </c>
      <c r="C11" s="92" t="s">
        <v>111</v>
      </c>
      <c r="D11" s="93">
        <v>10</v>
      </c>
      <c r="E11" s="94">
        <v>0.1187</v>
      </c>
      <c r="F11" s="114">
        <v>8.4500000000000006E-2</v>
      </c>
      <c r="G11" s="108">
        <v>8.6324800000000005E-4</v>
      </c>
      <c r="H11" s="113">
        <v>6.1200000000000002E-4</v>
      </c>
      <c r="I11" s="107">
        <v>45</v>
      </c>
      <c r="J11" s="94">
        <v>1.3100000000000001E-2</v>
      </c>
      <c r="K11" s="94">
        <v>-1.3100000000000001E-2</v>
      </c>
      <c r="L11" s="94">
        <v>1.1999999999999999E-3</v>
      </c>
      <c r="M11" s="94">
        <v>2.3999999999999998E-3</v>
      </c>
      <c r="N11" s="94">
        <v>-2.0999999999999999E-3</v>
      </c>
      <c r="O11" s="94">
        <v>2.8999999999999998E-3</v>
      </c>
      <c r="P11" s="94">
        <v>3.2000000000000002E-3</v>
      </c>
    </row>
    <row r="12" spans="1:17" hidden="1" x14ac:dyDescent="0.3">
      <c r="A12" s="89" t="s">
        <v>28</v>
      </c>
      <c r="B12" s="89" t="s">
        <v>97</v>
      </c>
      <c r="C12" s="92" t="s">
        <v>27</v>
      </c>
      <c r="D12" s="93">
        <v>1</v>
      </c>
      <c r="E12" s="94">
        <v>0.4995</v>
      </c>
      <c r="F12" s="114">
        <v>0.22989999999999999</v>
      </c>
      <c r="G12" s="108">
        <v>1.0704E-2</v>
      </c>
      <c r="H12" s="108">
        <v>1.0704E-2</v>
      </c>
      <c r="I12" s="107" t="s">
        <v>106</v>
      </c>
      <c r="J12" s="91" t="s">
        <v>106</v>
      </c>
      <c r="K12" s="91" t="s">
        <v>106</v>
      </c>
      <c r="L12" s="91" t="s">
        <v>106</v>
      </c>
      <c r="M12" s="91" t="s">
        <v>106</v>
      </c>
      <c r="N12" s="91" t="s">
        <v>106</v>
      </c>
      <c r="O12" s="91" t="s">
        <v>106</v>
      </c>
      <c r="P12" s="91" t="s">
        <v>106</v>
      </c>
    </row>
    <row r="13" spans="1:17" hidden="1" x14ac:dyDescent="0.3">
      <c r="A13" s="89" t="s">
        <v>28</v>
      </c>
      <c r="B13" s="89" t="s">
        <v>97</v>
      </c>
      <c r="C13" s="92" t="s">
        <v>27</v>
      </c>
      <c r="D13" s="93">
        <v>2</v>
      </c>
      <c r="E13" s="94">
        <v>0.50029999999999997</v>
      </c>
      <c r="F13" s="114">
        <v>0.22969999999999999</v>
      </c>
      <c r="G13" s="108">
        <v>1.0192E-2</v>
      </c>
      <c r="H13" s="108">
        <v>1.0192E-2</v>
      </c>
      <c r="I13" s="107">
        <v>45</v>
      </c>
      <c r="J13" s="94">
        <v>2.98E-2</v>
      </c>
      <c r="K13" s="94">
        <v>-2.9700000000000001E-2</v>
      </c>
      <c r="L13" s="94">
        <v>-5.9999999999999995E-4</v>
      </c>
      <c r="M13" s="94">
        <v>8.9999999999999998E-4</v>
      </c>
      <c r="N13" s="94">
        <v>1.8E-3</v>
      </c>
      <c r="O13" s="94">
        <v>3.0999999999999999E-3</v>
      </c>
      <c r="P13" s="94">
        <v>3.0999999999999999E-3</v>
      </c>
    </row>
    <row r="14" spans="1:17" hidden="1" x14ac:dyDescent="0.3">
      <c r="A14" s="89" t="s">
        <v>28</v>
      </c>
      <c r="B14" s="89" t="s">
        <v>97</v>
      </c>
      <c r="C14" s="92" t="s">
        <v>27</v>
      </c>
      <c r="D14" s="93">
        <v>3</v>
      </c>
      <c r="E14" s="94">
        <v>0.50249999999999995</v>
      </c>
      <c r="F14" s="114">
        <v>0.2334</v>
      </c>
      <c r="G14" s="108">
        <v>1.0583E-2</v>
      </c>
      <c r="H14" s="108">
        <v>1.0583E-2</v>
      </c>
      <c r="I14" s="107">
        <v>45</v>
      </c>
      <c r="J14" s="94">
        <v>2.1499999999999998E-2</v>
      </c>
      <c r="K14" s="94">
        <v>-2.6599999999999999E-2</v>
      </c>
      <c r="L14" s="94">
        <v>0</v>
      </c>
      <c r="M14" s="94">
        <v>1.2999999999999999E-3</v>
      </c>
      <c r="N14" s="94">
        <v>-1.6000000000000001E-3</v>
      </c>
      <c r="O14" s="94">
        <v>3.0000000000000001E-3</v>
      </c>
      <c r="P14" s="94">
        <v>3.0000000000000001E-3</v>
      </c>
    </row>
    <row r="15" spans="1:17" hidden="1" x14ac:dyDescent="0.3">
      <c r="A15" s="89" t="s">
        <v>28</v>
      </c>
      <c r="B15" s="89" t="s">
        <v>97</v>
      </c>
      <c r="C15" s="92" t="s">
        <v>27</v>
      </c>
      <c r="D15" s="93">
        <v>4</v>
      </c>
      <c r="E15" s="94">
        <v>0.49819999999999998</v>
      </c>
      <c r="F15" s="114">
        <v>0.2286</v>
      </c>
      <c r="G15" s="108">
        <v>1.0784E-2</v>
      </c>
      <c r="H15" s="108">
        <v>1.0784E-2</v>
      </c>
      <c r="I15" s="107">
        <v>45</v>
      </c>
      <c r="J15" s="94">
        <v>2.5100000000000001E-2</v>
      </c>
      <c r="K15" s="94">
        <v>-2.93E-2</v>
      </c>
      <c r="L15" s="94">
        <v>2.9999999999999997E-4</v>
      </c>
      <c r="M15" s="94">
        <v>2.5000000000000001E-3</v>
      </c>
      <c r="N15" s="94">
        <v>-1.6000000000000001E-3</v>
      </c>
      <c r="O15" s="94">
        <v>4.4000000000000003E-3</v>
      </c>
      <c r="P15" s="94">
        <v>4.4000000000000003E-3</v>
      </c>
    </row>
    <row r="16" spans="1:17" hidden="1" x14ac:dyDescent="0.3">
      <c r="A16" s="89" t="s">
        <v>28</v>
      </c>
      <c r="B16" s="89" t="s">
        <v>97</v>
      </c>
      <c r="C16" s="92" t="s">
        <v>27</v>
      </c>
      <c r="D16" s="93">
        <v>5</v>
      </c>
      <c r="E16" s="94">
        <v>0.50019999999999998</v>
      </c>
      <c r="F16" s="114">
        <v>0.2281</v>
      </c>
      <c r="G16" s="108">
        <v>1.0540000000000001E-2</v>
      </c>
      <c r="H16" s="108">
        <v>1.0540000000000001E-2</v>
      </c>
      <c r="I16" s="107">
        <v>45</v>
      </c>
      <c r="J16" s="94">
        <v>2.75E-2</v>
      </c>
      <c r="K16" s="94">
        <v>-2.8299999999999999E-2</v>
      </c>
      <c r="L16" s="94">
        <v>1E-4</v>
      </c>
      <c r="M16" s="94">
        <v>2E-3</v>
      </c>
      <c r="N16" s="94">
        <v>-2.0999999999999999E-3</v>
      </c>
      <c r="O16" s="94">
        <v>4.1000000000000003E-3</v>
      </c>
      <c r="P16" s="94">
        <v>4.1000000000000003E-3</v>
      </c>
    </row>
    <row r="17" spans="1:16" hidden="1" x14ac:dyDescent="0.3">
      <c r="A17" s="89" t="s">
        <v>28</v>
      </c>
      <c r="B17" s="89" t="s">
        <v>97</v>
      </c>
      <c r="C17" s="92" t="s">
        <v>27</v>
      </c>
      <c r="D17" s="93">
        <v>6</v>
      </c>
      <c r="E17" s="94">
        <v>0.50349999999999995</v>
      </c>
      <c r="F17" s="114">
        <v>0.22919999999999999</v>
      </c>
      <c r="G17" s="108">
        <v>1.0893E-2</v>
      </c>
      <c r="H17" s="108">
        <v>1.0893E-2</v>
      </c>
      <c r="I17" s="107">
        <v>45</v>
      </c>
      <c r="J17" s="94">
        <v>0.02</v>
      </c>
      <c r="K17" s="94">
        <v>-1.6500000000000001E-2</v>
      </c>
      <c r="L17" s="94">
        <v>2.9999999999999997E-4</v>
      </c>
      <c r="M17" s="94">
        <v>1.5E-3</v>
      </c>
      <c r="N17" s="94">
        <v>-1E-3</v>
      </c>
      <c r="O17" s="94">
        <v>2.5000000000000001E-3</v>
      </c>
      <c r="P17" s="94">
        <v>2.5000000000000001E-3</v>
      </c>
    </row>
    <row r="18" spans="1:16" hidden="1" x14ac:dyDescent="0.3">
      <c r="A18" s="89" t="s">
        <v>28</v>
      </c>
      <c r="B18" s="89" t="s">
        <v>97</v>
      </c>
      <c r="C18" s="92" t="s">
        <v>27</v>
      </c>
      <c r="D18" s="93">
        <v>7</v>
      </c>
      <c r="E18" s="94">
        <v>0.502</v>
      </c>
      <c r="F18" s="114">
        <v>0.23039999999999999</v>
      </c>
      <c r="G18" s="108">
        <v>1.077E-2</v>
      </c>
      <c r="H18" s="108">
        <v>1.077E-2</v>
      </c>
      <c r="I18" s="107">
        <v>45</v>
      </c>
      <c r="J18" s="94">
        <v>2.1399999999999999E-2</v>
      </c>
      <c r="K18" s="94">
        <v>-2.52E-2</v>
      </c>
      <c r="L18" s="94">
        <v>2.0000000000000001E-4</v>
      </c>
      <c r="M18" s="94">
        <v>1.1999999999999999E-3</v>
      </c>
      <c r="N18" s="94">
        <v>-8.0000000000000004E-4</v>
      </c>
      <c r="O18" s="94">
        <v>1.6999999999999999E-3</v>
      </c>
      <c r="P18" s="94">
        <v>1.6999999999999999E-3</v>
      </c>
    </row>
    <row r="19" spans="1:16" hidden="1" x14ac:dyDescent="0.3">
      <c r="A19" s="89" t="s">
        <v>28</v>
      </c>
      <c r="B19" s="89" t="s">
        <v>97</v>
      </c>
      <c r="C19" s="92" t="s">
        <v>27</v>
      </c>
      <c r="D19" s="93">
        <v>8</v>
      </c>
      <c r="E19" s="94">
        <v>0.50180000000000002</v>
      </c>
      <c r="F19" s="114">
        <v>0.22739999999999999</v>
      </c>
      <c r="G19" s="108">
        <v>1.0447E-2</v>
      </c>
      <c r="H19" s="108">
        <v>1.0447E-2</v>
      </c>
      <c r="I19" s="107">
        <v>45</v>
      </c>
      <c r="J19" s="94">
        <v>2.0199999999999999E-2</v>
      </c>
      <c r="K19" s="94">
        <v>-1.9300000000000001E-2</v>
      </c>
      <c r="L19" s="94">
        <v>-2.0000000000000001E-4</v>
      </c>
      <c r="M19" s="94">
        <v>1.4E-3</v>
      </c>
      <c r="N19" s="94">
        <v>-1.4E-3</v>
      </c>
      <c r="O19" s="94">
        <v>2.5999999999999999E-3</v>
      </c>
      <c r="P19" s="94">
        <v>2.5999999999999999E-3</v>
      </c>
    </row>
    <row r="20" spans="1:16" hidden="1" x14ac:dyDescent="0.3">
      <c r="A20" s="89" t="s">
        <v>28</v>
      </c>
      <c r="B20" s="89" t="s">
        <v>97</v>
      </c>
      <c r="C20" s="92" t="s">
        <v>27</v>
      </c>
      <c r="D20" s="93">
        <v>9</v>
      </c>
      <c r="E20" s="94">
        <v>0.49890000000000001</v>
      </c>
      <c r="F20" s="114">
        <v>0.23019999999999999</v>
      </c>
      <c r="G20" s="108">
        <v>1.0217E-2</v>
      </c>
      <c r="H20" s="108">
        <v>1.0217E-2</v>
      </c>
      <c r="I20" s="107">
        <v>45</v>
      </c>
      <c r="J20" s="94">
        <v>2.4199999999999999E-2</v>
      </c>
      <c r="K20" s="94">
        <v>-2.98E-2</v>
      </c>
      <c r="L20" s="94">
        <v>-5.9999999999999995E-4</v>
      </c>
      <c r="M20" s="94">
        <v>1.2999999999999999E-3</v>
      </c>
      <c r="N20" s="94">
        <v>-1.8E-3</v>
      </c>
      <c r="O20" s="94">
        <v>3.5000000000000001E-3</v>
      </c>
      <c r="P20" s="94">
        <v>3.5999999999999999E-3</v>
      </c>
    </row>
    <row r="21" spans="1:16" hidden="1" x14ac:dyDescent="0.3">
      <c r="A21" s="89" t="s">
        <v>28</v>
      </c>
      <c r="B21" s="89" t="s">
        <v>97</v>
      </c>
      <c r="C21" s="92" t="s">
        <v>27</v>
      </c>
      <c r="D21" s="93">
        <v>10</v>
      </c>
      <c r="E21" s="94">
        <v>0.49340000000000001</v>
      </c>
      <c r="F21" s="114">
        <v>0.2293</v>
      </c>
      <c r="G21" s="108">
        <v>9.5359999999999993E-3</v>
      </c>
      <c r="H21" s="108">
        <v>9.5359999999999993E-3</v>
      </c>
      <c r="I21" s="107">
        <v>45</v>
      </c>
      <c r="J21" s="94">
        <v>2.7199999999999998E-2</v>
      </c>
      <c r="K21" s="94">
        <v>-3.0099999999999998E-2</v>
      </c>
      <c r="L21" s="94">
        <v>-1.1000000000000001E-3</v>
      </c>
      <c r="M21" s="94">
        <v>8.9999999999999998E-4</v>
      </c>
      <c r="N21" s="94">
        <v>-2.8E-3</v>
      </c>
      <c r="O21" s="94">
        <v>4.7000000000000002E-3</v>
      </c>
      <c r="P21" s="94">
        <v>4.7999999999999996E-3</v>
      </c>
    </row>
    <row r="22" spans="1:16" hidden="1" x14ac:dyDescent="0.3">
      <c r="A22" s="89" t="s">
        <v>35</v>
      </c>
      <c r="B22" s="89" t="s">
        <v>98</v>
      </c>
      <c r="C22" s="92" t="s">
        <v>112</v>
      </c>
      <c r="D22" s="93">
        <v>1</v>
      </c>
      <c r="E22" s="94">
        <v>9.8799999999999999E-2</v>
      </c>
      <c r="F22" s="106">
        <v>6.1600000000000002E-2</v>
      </c>
      <c r="G22" s="108">
        <v>9.9724800000000006E-4</v>
      </c>
      <c r="H22" s="111">
        <v>6.8900000000000005E-4</v>
      </c>
      <c r="I22" s="107" t="s">
        <v>106</v>
      </c>
      <c r="J22" s="91" t="s">
        <v>106</v>
      </c>
      <c r="K22" s="91" t="s">
        <v>106</v>
      </c>
      <c r="L22" s="91" t="s">
        <v>106</v>
      </c>
      <c r="M22" s="91" t="s">
        <v>106</v>
      </c>
      <c r="N22" s="91" t="s">
        <v>106</v>
      </c>
      <c r="O22" s="91" t="s">
        <v>106</v>
      </c>
      <c r="P22" s="91" t="s">
        <v>106</v>
      </c>
    </row>
    <row r="23" spans="1:16" hidden="1" x14ac:dyDescent="0.3">
      <c r="A23" s="89" t="s">
        <v>35</v>
      </c>
      <c r="B23" s="89" t="s">
        <v>98</v>
      </c>
      <c r="C23" s="92" t="s">
        <v>112</v>
      </c>
      <c r="D23" s="93">
        <v>2</v>
      </c>
      <c r="E23" s="94">
        <v>9.5899999999999999E-2</v>
      </c>
      <c r="F23" s="106">
        <v>6.13E-2</v>
      </c>
      <c r="G23" s="108">
        <v>1.059E-3</v>
      </c>
      <c r="H23" s="111">
        <v>6.9499999999999998E-4</v>
      </c>
      <c r="I23" s="107">
        <v>45</v>
      </c>
      <c r="J23" s="91">
        <v>0.01</v>
      </c>
      <c r="K23" s="91">
        <v>-0.01</v>
      </c>
      <c r="L23" s="91">
        <v>2.9999999999999997E-4</v>
      </c>
      <c r="M23" s="91">
        <v>1E-3</v>
      </c>
      <c r="N23" s="91">
        <v>-5.9999999999999995E-4</v>
      </c>
      <c r="O23" s="91">
        <v>1.6000000000000001E-3</v>
      </c>
      <c r="P23" s="91">
        <v>1.6000000000000001E-3</v>
      </c>
    </row>
    <row r="24" spans="1:16" hidden="1" x14ac:dyDescent="0.3">
      <c r="A24" s="89" t="s">
        <v>35</v>
      </c>
      <c r="B24" s="89" t="s">
        <v>98</v>
      </c>
      <c r="C24" s="92" t="s">
        <v>112</v>
      </c>
      <c r="D24" s="93">
        <v>3</v>
      </c>
      <c r="E24" s="94">
        <v>8.3099999999999993E-2</v>
      </c>
      <c r="F24" s="106">
        <v>6.0600000000000001E-2</v>
      </c>
      <c r="G24" s="108">
        <v>8.8782499999999996E-4</v>
      </c>
      <c r="H24" s="111">
        <v>6.7000000000000002E-4</v>
      </c>
      <c r="I24" s="107">
        <v>45</v>
      </c>
      <c r="J24" s="91">
        <v>0.01</v>
      </c>
      <c r="K24" s="91">
        <v>-0.01</v>
      </c>
      <c r="L24" s="91">
        <v>2.9999999999999997E-4</v>
      </c>
      <c r="M24" s="91">
        <v>8.9999999999999998E-4</v>
      </c>
      <c r="N24" s="91">
        <v>1E-3</v>
      </c>
      <c r="O24" s="91">
        <v>1.9E-3</v>
      </c>
      <c r="P24" s="91">
        <v>1.9E-3</v>
      </c>
    </row>
    <row r="25" spans="1:16" hidden="1" x14ac:dyDescent="0.3">
      <c r="A25" s="89" t="s">
        <v>35</v>
      </c>
      <c r="B25" s="89" t="s">
        <v>98</v>
      </c>
      <c r="C25" s="92" t="s">
        <v>112</v>
      </c>
      <c r="D25" s="93">
        <v>4</v>
      </c>
      <c r="E25" s="94">
        <v>8.8599999999999998E-2</v>
      </c>
      <c r="F25" s="106">
        <v>6.25E-2</v>
      </c>
      <c r="G25" s="108">
        <v>9.1050799999999998E-4</v>
      </c>
      <c r="H25" s="111">
        <v>6.87E-4</v>
      </c>
      <c r="I25" s="107">
        <v>45</v>
      </c>
      <c r="J25" s="91">
        <v>0.01</v>
      </c>
      <c r="K25" s="91">
        <v>-0.01</v>
      </c>
      <c r="L25" s="91">
        <v>-1E-4</v>
      </c>
      <c r="M25" s="91">
        <v>6.9999999999999999E-4</v>
      </c>
      <c r="N25" s="91">
        <v>-1E-3</v>
      </c>
      <c r="O25" s="91">
        <v>1.6000000000000001E-3</v>
      </c>
      <c r="P25" s="91">
        <v>1.6000000000000001E-3</v>
      </c>
    </row>
    <row r="26" spans="1:16" hidden="1" x14ac:dyDescent="0.3">
      <c r="A26" s="89" t="s">
        <v>35</v>
      </c>
      <c r="B26" s="89" t="s">
        <v>98</v>
      </c>
      <c r="C26" s="92" t="s">
        <v>112</v>
      </c>
      <c r="D26" s="93">
        <v>5</v>
      </c>
      <c r="E26" s="94">
        <v>7.7499999999999999E-2</v>
      </c>
      <c r="F26" s="106">
        <v>5.4300000000000001E-2</v>
      </c>
      <c r="G26" s="108">
        <v>9.3506100000000005E-4</v>
      </c>
      <c r="H26" s="111">
        <v>7.5299999999999998E-4</v>
      </c>
      <c r="I26" s="107">
        <v>45</v>
      </c>
      <c r="J26" s="91">
        <v>0.01</v>
      </c>
      <c r="K26" s="91">
        <v>-0.01</v>
      </c>
      <c r="L26" s="91">
        <v>0</v>
      </c>
      <c r="M26" s="91">
        <v>1E-3</v>
      </c>
      <c r="N26" s="91">
        <v>-1.2999999999999999E-3</v>
      </c>
      <c r="O26" s="91">
        <v>2.2000000000000001E-3</v>
      </c>
      <c r="P26" s="91">
        <v>2.2000000000000001E-3</v>
      </c>
    </row>
    <row r="27" spans="1:16" hidden="1" x14ac:dyDescent="0.3">
      <c r="A27" s="89" t="s">
        <v>35</v>
      </c>
      <c r="B27" s="89" t="s">
        <v>98</v>
      </c>
      <c r="C27" s="92" t="s">
        <v>112</v>
      </c>
      <c r="D27" s="93">
        <v>6</v>
      </c>
      <c r="E27" s="94">
        <v>8.6499999999999994E-2</v>
      </c>
      <c r="F27" s="106">
        <v>6.2600000000000003E-2</v>
      </c>
      <c r="G27" s="108">
        <v>8.7586999999999995E-3</v>
      </c>
      <c r="H27" s="111">
        <v>6.78E-4</v>
      </c>
      <c r="I27" s="107">
        <v>45</v>
      </c>
      <c r="J27" s="91">
        <v>0.01</v>
      </c>
      <c r="K27" s="91">
        <v>-0.01</v>
      </c>
      <c r="L27" s="91">
        <v>-1E-4</v>
      </c>
      <c r="M27" s="91">
        <v>6.9999999999999999E-4</v>
      </c>
      <c r="N27" s="91">
        <v>-8.9999999999999998E-4</v>
      </c>
      <c r="O27" s="91">
        <v>1.6000000000000001E-3</v>
      </c>
      <c r="P27" s="91">
        <v>1.6000000000000001E-3</v>
      </c>
    </row>
    <row r="28" spans="1:16" hidden="1" x14ac:dyDescent="0.3">
      <c r="A28" s="89" t="s">
        <v>35</v>
      </c>
      <c r="B28" s="89" t="s">
        <v>98</v>
      </c>
      <c r="C28" s="92" t="s">
        <v>112</v>
      </c>
      <c r="D28" s="93">
        <v>7</v>
      </c>
      <c r="E28" s="94">
        <v>9.3600000000000003E-2</v>
      </c>
      <c r="F28" s="106">
        <v>6.3600000000000004E-2</v>
      </c>
      <c r="G28" s="108">
        <v>1.07E-3</v>
      </c>
      <c r="H28" s="111">
        <v>6.7199999999999996E-4</v>
      </c>
      <c r="I28" s="107">
        <v>45</v>
      </c>
      <c r="J28" s="91">
        <v>0.01</v>
      </c>
      <c r="K28" s="91">
        <v>-0.01</v>
      </c>
      <c r="L28" s="91">
        <v>-1E-4</v>
      </c>
      <c r="M28" s="91">
        <v>1.4E-3</v>
      </c>
      <c r="N28" s="91">
        <v>-1.1999999999999999E-3</v>
      </c>
      <c r="O28" s="91">
        <v>2.0999999999999999E-3</v>
      </c>
      <c r="P28" s="91">
        <v>2.0999999999999999E-3</v>
      </c>
    </row>
    <row r="29" spans="1:16" hidden="1" x14ac:dyDescent="0.3">
      <c r="A29" s="89" t="s">
        <v>35</v>
      </c>
      <c r="B29" s="89" t="s">
        <v>98</v>
      </c>
      <c r="C29" s="92" t="s">
        <v>112</v>
      </c>
      <c r="D29" s="93">
        <v>8</v>
      </c>
      <c r="E29" s="94">
        <v>8.9700000000000002E-2</v>
      </c>
      <c r="F29" s="106">
        <v>6.25E-2</v>
      </c>
      <c r="G29" s="108">
        <v>1.0009999999999999E-3</v>
      </c>
      <c r="H29" s="111">
        <v>6.7199999999999996E-4</v>
      </c>
      <c r="I29" s="107">
        <v>45</v>
      </c>
      <c r="J29" s="91">
        <v>0.01</v>
      </c>
      <c r="K29" s="91">
        <v>-0.01</v>
      </c>
      <c r="L29" s="91">
        <v>-2.0000000000000001E-4</v>
      </c>
      <c r="M29" s="91">
        <v>8.9999999999999998E-4</v>
      </c>
      <c r="N29" s="91">
        <v>-1.1000000000000001E-3</v>
      </c>
      <c r="O29" s="91">
        <v>1.9E-3</v>
      </c>
      <c r="P29" s="91">
        <v>2E-3</v>
      </c>
    </row>
    <row r="30" spans="1:16" hidden="1" x14ac:dyDescent="0.3">
      <c r="A30" s="89" t="s">
        <v>35</v>
      </c>
      <c r="B30" s="89" t="s">
        <v>98</v>
      </c>
      <c r="C30" s="92" t="s">
        <v>112</v>
      </c>
      <c r="D30" s="93">
        <v>9</v>
      </c>
      <c r="E30" s="94">
        <v>8.2299999999999998E-2</v>
      </c>
      <c r="F30" s="106">
        <v>6.7199999999999996E-2</v>
      </c>
      <c r="G30" s="108">
        <v>7.5164999999999997E-4</v>
      </c>
      <c r="H30" s="111">
        <v>6.9399999999999996E-4</v>
      </c>
      <c r="I30" s="107">
        <v>45</v>
      </c>
      <c r="J30" s="91">
        <v>0.01</v>
      </c>
      <c r="K30" s="91">
        <v>-0.01</v>
      </c>
      <c r="L30" s="91">
        <v>1E-4</v>
      </c>
      <c r="M30" s="91">
        <v>1.1000000000000001E-3</v>
      </c>
      <c r="N30" s="91">
        <v>-1.1000000000000001E-3</v>
      </c>
      <c r="O30" s="91">
        <v>1.9E-3</v>
      </c>
      <c r="P30" s="91">
        <v>1.9E-3</v>
      </c>
    </row>
    <row r="31" spans="1:16" hidden="1" x14ac:dyDescent="0.3">
      <c r="A31" s="89" t="s">
        <v>35</v>
      </c>
      <c r="B31" s="89" t="s">
        <v>98</v>
      </c>
      <c r="C31" s="92" t="s">
        <v>112</v>
      </c>
      <c r="D31" s="93">
        <v>10</v>
      </c>
      <c r="E31" s="94">
        <v>9.2499999999999999E-2</v>
      </c>
      <c r="F31" s="106">
        <v>6.5199999999999994E-2</v>
      </c>
      <c r="G31" s="108">
        <v>9.4769799999999996E-4</v>
      </c>
      <c r="H31" s="111">
        <v>6.9300000000000004E-4</v>
      </c>
      <c r="I31" s="107">
        <v>45</v>
      </c>
      <c r="J31" s="91">
        <v>0.01</v>
      </c>
      <c r="K31" s="91">
        <v>-0.01</v>
      </c>
      <c r="L31" s="91">
        <v>-1E-4</v>
      </c>
      <c r="M31" s="91">
        <v>1.1000000000000001E-3</v>
      </c>
      <c r="N31" s="91">
        <v>-1.5E-3</v>
      </c>
      <c r="O31" s="91">
        <v>2.3E-3</v>
      </c>
      <c r="P31" s="91">
        <v>2.3E-3</v>
      </c>
    </row>
    <row r="32" spans="1:16" hidden="1" x14ac:dyDescent="0.3">
      <c r="A32" s="89" t="s">
        <v>44</v>
      </c>
      <c r="B32" s="89" t="s">
        <v>99</v>
      </c>
      <c r="C32" s="92" t="s">
        <v>112</v>
      </c>
      <c r="D32" s="93">
        <v>1</v>
      </c>
      <c r="E32" s="94">
        <v>0.17849999999999999</v>
      </c>
      <c r="F32" s="106">
        <v>0.13</v>
      </c>
      <c r="G32" s="108">
        <v>2.0049999999999998E-3</v>
      </c>
      <c r="H32" s="111">
        <v>1.56E-3</v>
      </c>
      <c r="I32" s="107" t="s">
        <v>106</v>
      </c>
      <c r="J32" s="91" t="s">
        <v>106</v>
      </c>
      <c r="K32" s="91" t="s">
        <v>106</v>
      </c>
      <c r="L32" s="91" t="s">
        <v>106</v>
      </c>
      <c r="M32" s="91" t="s">
        <v>106</v>
      </c>
      <c r="N32" s="91" t="s">
        <v>106</v>
      </c>
      <c r="O32" s="91" t="s">
        <v>106</v>
      </c>
      <c r="P32" s="91" t="s">
        <v>106</v>
      </c>
    </row>
    <row r="33" spans="1:16" hidden="1" x14ac:dyDescent="0.3">
      <c r="A33" s="89" t="s">
        <v>44</v>
      </c>
      <c r="B33" s="89" t="s">
        <v>99</v>
      </c>
      <c r="C33" s="92" t="s">
        <v>112</v>
      </c>
      <c r="D33" s="93">
        <v>2</v>
      </c>
      <c r="E33" s="94">
        <v>0.12839999999999999</v>
      </c>
      <c r="F33" s="106">
        <v>9.01E-2</v>
      </c>
      <c r="G33" s="108">
        <v>2.447E-3</v>
      </c>
      <c r="H33" s="111">
        <v>1.916E-3</v>
      </c>
      <c r="I33" s="107">
        <v>45</v>
      </c>
      <c r="J33" s="91">
        <v>1.2E-2</v>
      </c>
      <c r="K33" s="91">
        <v>-1.2E-2</v>
      </c>
      <c r="L33" s="91">
        <v>1.4E-3</v>
      </c>
      <c r="M33" s="91">
        <v>2.3999999999999998E-3</v>
      </c>
      <c r="N33" s="91">
        <v>-2E-3</v>
      </c>
      <c r="O33" s="91">
        <v>2.8E-3</v>
      </c>
      <c r="P33" s="91">
        <v>3.0999999999999999E-3</v>
      </c>
    </row>
    <row r="34" spans="1:16" hidden="1" x14ac:dyDescent="0.3">
      <c r="A34" s="89" t="s">
        <v>44</v>
      </c>
      <c r="B34" s="89" t="s">
        <v>99</v>
      </c>
      <c r="C34" s="92" t="s">
        <v>112</v>
      </c>
      <c r="D34" s="93">
        <v>3</v>
      </c>
      <c r="E34" s="94">
        <v>0.1237</v>
      </c>
      <c r="F34" s="106">
        <v>9.0899999999999995E-2</v>
      </c>
      <c r="G34" s="108">
        <v>2.2750000000000001E-3</v>
      </c>
      <c r="H34" s="111">
        <v>1.921E-3</v>
      </c>
      <c r="I34" s="107">
        <v>45</v>
      </c>
      <c r="J34" s="91">
        <v>1.2E-2</v>
      </c>
      <c r="K34" s="91">
        <v>-1.2E-2</v>
      </c>
      <c r="L34" s="91">
        <v>1E-3</v>
      </c>
      <c r="M34" s="91">
        <v>2.2000000000000001E-3</v>
      </c>
      <c r="N34" s="91">
        <v>-3.0000000000000001E-3</v>
      </c>
      <c r="O34" s="91">
        <v>3.0999999999999999E-3</v>
      </c>
      <c r="P34" s="91">
        <v>3.3E-3</v>
      </c>
    </row>
    <row r="35" spans="1:16" hidden="1" x14ac:dyDescent="0.3">
      <c r="A35" s="89" t="s">
        <v>44</v>
      </c>
      <c r="B35" s="89" t="s">
        <v>99</v>
      </c>
      <c r="C35" s="92" t="s">
        <v>112</v>
      </c>
      <c r="D35" s="93">
        <v>4</v>
      </c>
      <c r="E35" s="94">
        <v>0.1792</v>
      </c>
      <c r="F35" s="106">
        <v>0.12970000000000001</v>
      </c>
      <c r="G35" s="108">
        <v>1.8879999999999999E-3</v>
      </c>
      <c r="H35" s="111">
        <v>1.5399999999999999E-3</v>
      </c>
      <c r="I35" s="107">
        <v>45</v>
      </c>
      <c r="J35" s="91">
        <v>1.2E-2</v>
      </c>
      <c r="K35" s="91">
        <v>-1.2E-2</v>
      </c>
      <c r="L35" s="91">
        <v>0</v>
      </c>
      <c r="M35" s="91">
        <v>1.2999999999999999E-3</v>
      </c>
      <c r="N35" s="91">
        <v>-8.9999999999999998E-4</v>
      </c>
      <c r="O35" s="91">
        <v>2.3999999999999998E-3</v>
      </c>
      <c r="P35" s="91">
        <v>2.3999999999999998E-3</v>
      </c>
    </row>
    <row r="36" spans="1:16" hidden="1" x14ac:dyDescent="0.3">
      <c r="A36" s="89" t="s">
        <v>44</v>
      </c>
      <c r="B36" s="89" t="s">
        <v>99</v>
      </c>
      <c r="C36" s="92" t="s">
        <v>112</v>
      </c>
      <c r="D36" s="93">
        <v>5</v>
      </c>
      <c r="E36" s="94">
        <v>0.18090000000000001</v>
      </c>
      <c r="F36" s="106">
        <v>0.1318</v>
      </c>
      <c r="G36" s="108">
        <v>2.0460000000000001E-3</v>
      </c>
      <c r="H36" s="111">
        <v>1.5269999999999999E-3</v>
      </c>
      <c r="I36" s="107">
        <v>45</v>
      </c>
      <c r="J36" s="91">
        <v>1.2E-2</v>
      </c>
      <c r="K36" s="91">
        <v>-1.2E-2</v>
      </c>
      <c r="L36" s="91">
        <v>0</v>
      </c>
      <c r="M36" s="91">
        <v>1E-3</v>
      </c>
      <c r="N36" s="91">
        <v>-8.0000000000000004E-4</v>
      </c>
      <c r="O36" s="91">
        <v>2E-3</v>
      </c>
      <c r="P36" s="91">
        <v>2E-3</v>
      </c>
    </row>
    <row r="37" spans="1:16" hidden="1" x14ac:dyDescent="0.3">
      <c r="A37" s="89" t="s">
        <v>44</v>
      </c>
      <c r="B37" s="89" t="s">
        <v>99</v>
      </c>
      <c r="C37" s="92" t="s">
        <v>112</v>
      </c>
      <c r="D37" s="93">
        <v>6</v>
      </c>
      <c r="E37" s="94">
        <v>0.18229999999999999</v>
      </c>
      <c r="F37" s="106">
        <v>0.13159999999999999</v>
      </c>
      <c r="G37" s="108">
        <v>1.8389999999999999E-3</v>
      </c>
      <c r="H37" s="111">
        <v>1.526E-3</v>
      </c>
      <c r="I37" s="107">
        <v>45</v>
      </c>
      <c r="J37" s="91">
        <v>1.2E-2</v>
      </c>
      <c r="K37" s="91">
        <v>-1.2E-2</v>
      </c>
      <c r="L37" s="91">
        <v>-5.0000000000000001E-4</v>
      </c>
      <c r="M37" s="91">
        <v>5.0000000000000001E-4</v>
      </c>
      <c r="N37" s="91">
        <v>-1.2999999999999999E-3</v>
      </c>
      <c r="O37" s="91">
        <v>2.0999999999999999E-3</v>
      </c>
      <c r="P37" s="91">
        <v>2.0999999999999999E-3</v>
      </c>
    </row>
    <row r="38" spans="1:16" hidden="1" x14ac:dyDescent="0.3">
      <c r="A38" s="89" t="s">
        <v>44</v>
      </c>
      <c r="B38" s="89" t="s">
        <v>99</v>
      </c>
      <c r="C38" s="92" t="s">
        <v>112</v>
      </c>
      <c r="D38" s="93">
        <v>7</v>
      </c>
      <c r="E38" s="94">
        <v>0.17780000000000001</v>
      </c>
      <c r="F38" s="106">
        <v>0.1295</v>
      </c>
      <c r="G38" s="108">
        <v>2.0149999999999999E-3</v>
      </c>
      <c r="H38" s="111">
        <v>1.537E-3</v>
      </c>
      <c r="I38" s="107">
        <v>45</v>
      </c>
      <c r="J38" s="91">
        <v>1.2E-2</v>
      </c>
      <c r="K38" s="91">
        <v>-1.2E-2</v>
      </c>
      <c r="L38" s="91">
        <v>-1E-4</v>
      </c>
      <c r="M38" s="91">
        <v>1E-3</v>
      </c>
      <c r="N38" s="91">
        <v>-8.0000000000000004E-4</v>
      </c>
      <c r="O38" s="91">
        <v>2.0999999999999999E-3</v>
      </c>
      <c r="P38" s="91">
        <v>2.0999999999999999E-3</v>
      </c>
    </row>
    <row r="39" spans="1:16" hidden="1" x14ac:dyDescent="0.3">
      <c r="A39" s="89" t="s">
        <v>44</v>
      </c>
      <c r="B39" s="89" t="s">
        <v>99</v>
      </c>
      <c r="C39" s="92" t="s">
        <v>112</v>
      </c>
      <c r="D39" s="93">
        <v>8</v>
      </c>
      <c r="E39" s="94">
        <v>0.17960000000000001</v>
      </c>
      <c r="F39" s="106">
        <v>0.1295</v>
      </c>
      <c r="G39" s="108">
        <v>2.189E-3</v>
      </c>
      <c r="H39" s="111">
        <v>1.544E-3</v>
      </c>
      <c r="I39" s="107">
        <v>45</v>
      </c>
      <c r="J39" s="91">
        <v>1.2E-2</v>
      </c>
      <c r="K39" s="91">
        <v>-1.2E-2</v>
      </c>
      <c r="L39" s="91">
        <v>4.0000000000000002E-4</v>
      </c>
      <c r="M39" s="91">
        <v>1.4E-3</v>
      </c>
      <c r="N39" s="91">
        <v>-4.0000000000000002E-4</v>
      </c>
      <c r="O39" s="91">
        <v>1.9E-3</v>
      </c>
      <c r="P39" s="91">
        <v>2E-3</v>
      </c>
    </row>
    <row r="40" spans="1:16" hidden="1" x14ac:dyDescent="0.3">
      <c r="A40" s="89" t="s">
        <v>44</v>
      </c>
      <c r="B40" s="89" t="s">
        <v>99</v>
      </c>
      <c r="C40" s="92" t="s">
        <v>112</v>
      </c>
      <c r="D40" s="93">
        <v>9</v>
      </c>
      <c r="E40" s="94">
        <v>0.17369999999999999</v>
      </c>
      <c r="F40" s="106">
        <v>0.1244</v>
      </c>
      <c r="G40" s="108">
        <v>2.189E-3</v>
      </c>
      <c r="H40" s="111">
        <v>1.513E-3</v>
      </c>
      <c r="I40" s="107">
        <v>45</v>
      </c>
      <c r="J40" s="91">
        <v>1.2E-2</v>
      </c>
      <c r="K40" s="91">
        <v>-1.2E-2</v>
      </c>
      <c r="L40" s="91">
        <v>2.0000000000000001E-4</v>
      </c>
      <c r="M40" s="91">
        <v>1.2999999999999999E-3</v>
      </c>
      <c r="N40" s="91">
        <v>-5.9999999999999995E-4</v>
      </c>
      <c r="O40" s="91">
        <v>2E-3</v>
      </c>
      <c r="P40" s="91">
        <v>2E-3</v>
      </c>
    </row>
    <row r="41" spans="1:16" hidden="1" x14ac:dyDescent="0.3">
      <c r="A41" s="89" t="s">
        <v>44</v>
      </c>
      <c r="B41" s="89" t="s">
        <v>99</v>
      </c>
      <c r="C41" s="92" t="s">
        <v>112</v>
      </c>
      <c r="D41" s="93">
        <v>10</v>
      </c>
      <c r="E41" s="94">
        <v>0.1817</v>
      </c>
      <c r="F41" s="106">
        <v>0.1308</v>
      </c>
      <c r="G41" s="108">
        <v>1.8569999999999999E-3</v>
      </c>
      <c r="H41" s="111">
        <v>1.5579999999999999E-3</v>
      </c>
      <c r="I41" s="107">
        <v>45</v>
      </c>
      <c r="J41" s="91">
        <v>1.2E-2</v>
      </c>
      <c r="K41" s="91">
        <v>-1.2E-2</v>
      </c>
      <c r="L41" s="91">
        <v>-2.9999999999999997E-4</v>
      </c>
      <c r="M41" s="91">
        <v>5.9999999999999995E-4</v>
      </c>
      <c r="N41" s="91">
        <v>-1.2999999999999999E-3</v>
      </c>
      <c r="O41" s="91">
        <v>2.2000000000000001E-3</v>
      </c>
      <c r="P41" s="91">
        <v>2.2000000000000001E-3</v>
      </c>
    </row>
    <row r="42" spans="1:16" x14ac:dyDescent="0.3">
      <c r="A42" s="89" t="s">
        <v>45</v>
      </c>
      <c r="B42" s="89" t="s">
        <v>113</v>
      </c>
      <c r="C42" s="92" t="s">
        <v>111</v>
      </c>
      <c r="D42" s="93">
        <v>1</v>
      </c>
      <c r="E42" s="94">
        <v>0.2094</v>
      </c>
      <c r="F42" s="106">
        <v>0.1489</v>
      </c>
      <c r="G42" s="108">
        <v>3.7910000000000001E-3</v>
      </c>
      <c r="H42" s="111">
        <v>2.6029999999999998E-3</v>
      </c>
      <c r="I42" s="107" t="s">
        <v>106</v>
      </c>
      <c r="J42" s="91" t="s">
        <v>106</v>
      </c>
      <c r="K42" s="91" t="s">
        <v>106</v>
      </c>
      <c r="L42" s="91" t="s">
        <v>106</v>
      </c>
      <c r="M42" s="91" t="s">
        <v>106</v>
      </c>
      <c r="N42" s="91" t="s">
        <v>106</v>
      </c>
      <c r="O42" s="91" t="s">
        <v>106</v>
      </c>
      <c r="P42" s="91" t="s">
        <v>106</v>
      </c>
    </row>
    <row r="43" spans="1:16" x14ac:dyDescent="0.3">
      <c r="A43" s="89" t="s">
        <v>45</v>
      </c>
      <c r="B43" s="89" t="s">
        <v>113</v>
      </c>
      <c r="C43" s="92" t="s">
        <v>111</v>
      </c>
      <c r="D43" s="93">
        <v>2</v>
      </c>
      <c r="E43" s="94">
        <v>0.1646</v>
      </c>
      <c r="F43" s="106">
        <v>0.12570000000000001</v>
      </c>
      <c r="G43" s="108">
        <v>2.8040000000000001E-3</v>
      </c>
      <c r="H43" s="111">
        <v>2.068E-3</v>
      </c>
      <c r="I43" s="107">
        <v>45</v>
      </c>
      <c r="J43" s="91">
        <v>1.4999999999999999E-2</v>
      </c>
      <c r="K43" s="91">
        <v>-1.5599999999999999E-2</v>
      </c>
      <c r="L43" s="91">
        <v>-0.34</v>
      </c>
      <c r="M43" s="91">
        <v>3.8999999999999998E-3</v>
      </c>
      <c r="N43" s="91">
        <v>-5.4000000000000003E-3</v>
      </c>
      <c r="O43" s="91">
        <v>4.8999999999999998E-3</v>
      </c>
      <c r="P43" s="91">
        <v>6.0000000000000001E-3</v>
      </c>
    </row>
    <row r="44" spans="1:16" x14ac:dyDescent="0.3">
      <c r="A44" s="89" t="s">
        <v>45</v>
      </c>
      <c r="B44" s="89" t="s">
        <v>113</v>
      </c>
      <c r="C44" s="92" t="s">
        <v>111</v>
      </c>
      <c r="D44" s="93">
        <v>3</v>
      </c>
      <c r="E44" s="94">
        <v>0.20710000000000001</v>
      </c>
      <c r="F44" s="106">
        <v>0.1497</v>
      </c>
      <c r="G44" s="108">
        <v>3.6180000000000001E-3</v>
      </c>
      <c r="H44" s="111">
        <v>2.993E-3</v>
      </c>
      <c r="I44" s="107">
        <v>45</v>
      </c>
      <c r="J44" s="91">
        <v>1.55E-2</v>
      </c>
      <c r="K44" s="91">
        <v>-1.5599999999999999E-2</v>
      </c>
      <c r="L44" s="91">
        <v>5.9999999999999995E-4</v>
      </c>
      <c r="M44" s="91">
        <v>1.2999999999999999E-3</v>
      </c>
      <c r="N44" s="91">
        <v>-2.3E-3</v>
      </c>
      <c r="O44" s="91">
        <v>2.5000000000000001E-3</v>
      </c>
      <c r="P44" s="91">
        <v>2.5000000000000001E-3</v>
      </c>
    </row>
    <row r="45" spans="1:16" x14ac:dyDescent="0.3">
      <c r="A45" s="89" t="s">
        <v>45</v>
      </c>
      <c r="B45" s="89" t="s">
        <v>113</v>
      </c>
      <c r="C45" s="92" t="s">
        <v>111</v>
      </c>
      <c r="D45" s="93">
        <v>4</v>
      </c>
      <c r="E45" s="94">
        <v>0.20660000000000001</v>
      </c>
      <c r="F45" s="106">
        <v>0.15160000000000001</v>
      </c>
      <c r="G45" s="108">
        <v>3.7959999999999999E-3</v>
      </c>
      <c r="H45" s="111">
        <v>2.7590000000000002E-3</v>
      </c>
      <c r="I45" s="107">
        <v>45</v>
      </c>
      <c r="J45" s="91">
        <v>1.5599999999999999E-2</v>
      </c>
      <c r="K45" s="91">
        <v>-1.5599999999999999E-2</v>
      </c>
      <c r="L45" s="91">
        <v>8.0000000000000004E-4</v>
      </c>
      <c r="M45" s="91">
        <v>1.8E-3</v>
      </c>
      <c r="N45" s="91">
        <v>-2.7000000000000001E-3</v>
      </c>
      <c r="O45" s="91">
        <v>3.0000000000000001E-3</v>
      </c>
      <c r="P45" s="91">
        <v>3.0999999999999999E-3</v>
      </c>
    </row>
    <row r="46" spans="1:16" x14ac:dyDescent="0.3">
      <c r="A46" s="89" t="s">
        <v>45</v>
      </c>
      <c r="B46" s="89" t="s">
        <v>113</v>
      </c>
      <c r="C46" s="92" t="s">
        <v>111</v>
      </c>
      <c r="D46" s="93">
        <v>5</v>
      </c>
      <c r="E46" s="94">
        <v>0.1956</v>
      </c>
      <c r="F46" s="106">
        <v>0.14680000000000001</v>
      </c>
      <c r="G46" s="108">
        <v>3.5660000000000002E-3</v>
      </c>
      <c r="H46" s="111">
        <v>2.5330000000000001E-3</v>
      </c>
      <c r="I46" s="107">
        <v>45</v>
      </c>
      <c r="J46" s="91">
        <v>1.2E-2</v>
      </c>
      <c r="K46" s="91">
        <v>-1.5599999999999999E-2</v>
      </c>
      <c r="L46" s="91">
        <v>-2.0000000000000001E-4</v>
      </c>
      <c r="M46" s="91">
        <v>1.4E-3</v>
      </c>
      <c r="N46" s="91">
        <v>-1.6999999999999999E-3</v>
      </c>
      <c r="O46" s="91">
        <v>2E-3</v>
      </c>
      <c r="P46" s="91">
        <v>2E-3</v>
      </c>
    </row>
    <row r="47" spans="1:16" x14ac:dyDescent="0.3">
      <c r="A47" s="89" t="s">
        <v>45</v>
      </c>
      <c r="B47" s="89" t="s">
        <v>113</v>
      </c>
      <c r="C47" s="92" t="s">
        <v>111</v>
      </c>
      <c r="D47" s="93">
        <v>6</v>
      </c>
      <c r="E47" s="94">
        <v>0.19359999999999999</v>
      </c>
      <c r="F47" s="106">
        <v>0.14119999999999999</v>
      </c>
      <c r="G47" s="108">
        <v>3.4069999999999999E-3</v>
      </c>
      <c r="H47" s="111">
        <v>2.421E-3</v>
      </c>
      <c r="I47" s="107">
        <v>45</v>
      </c>
      <c r="J47" s="91">
        <v>1.5599999999999999E-2</v>
      </c>
      <c r="K47" s="91">
        <v>-1.5599999999999999E-2</v>
      </c>
      <c r="L47" s="91">
        <v>-5.0000000000000001E-4</v>
      </c>
      <c r="M47" s="91">
        <v>2.5000000000000001E-3</v>
      </c>
      <c r="N47" s="91">
        <v>-3.3999999999999998E-3</v>
      </c>
      <c r="O47" s="91">
        <v>3.8E-3</v>
      </c>
      <c r="P47" s="91">
        <v>3.8E-3</v>
      </c>
    </row>
    <row r="48" spans="1:16" x14ac:dyDescent="0.3">
      <c r="A48" s="89" t="s">
        <v>45</v>
      </c>
      <c r="B48" s="89" t="s">
        <v>113</v>
      </c>
      <c r="C48" s="92" t="s">
        <v>111</v>
      </c>
      <c r="D48" s="93">
        <v>7</v>
      </c>
      <c r="E48" s="94">
        <v>0.22159999999999999</v>
      </c>
      <c r="F48" s="106">
        <v>0.156</v>
      </c>
      <c r="G48" s="108">
        <v>3.908E-3</v>
      </c>
      <c r="H48" s="111">
        <v>2.8670000000000002E-3</v>
      </c>
      <c r="I48" s="107">
        <v>45</v>
      </c>
      <c r="J48" s="91">
        <v>1.5599999999999999E-2</v>
      </c>
      <c r="K48" s="91">
        <v>-1.5599999999999999E-2</v>
      </c>
      <c r="L48" s="91">
        <v>2.2000000000000001E-3</v>
      </c>
      <c r="M48" s="91">
        <v>3.7000000000000002E-3</v>
      </c>
      <c r="N48" s="91">
        <v>-2.8999999999999998E-3</v>
      </c>
      <c r="O48" s="91">
        <v>3.8999999999999998E-3</v>
      </c>
      <c r="P48" s="91">
        <v>4.4999999999999997E-3</v>
      </c>
    </row>
    <row r="49" spans="1:16" x14ac:dyDescent="0.3">
      <c r="A49" s="89" t="s">
        <v>45</v>
      </c>
      <c r="B49" s="89" t="s">
        <v>113</v>
      </c>
      <c r="C49" s="92" t="s">
        <v>111</v>
      </c>
      <c r="D49" s="93">
        <v>8</v>
      </c>
      <c r="E49" s="94">
        <v>0.22339999999999999</v>
      </c>
      <c r="F49" s="106">
        <v>0.15629999999999999</v>
      </c>
      <c r="G49" s="108">
        <v>3.888E-3</v>
      </c>
      <c r="H49" s="111">
        <v>2.807E-3</v>
      </c>
      <c r="I49" s="107">
        <v>45</v>
      </c>
      <c r="J49" s="91">
        <v>1.5599999999999999E-2</v>
      </c>
      <c r="K49" s="91">
        <v>-1.55E-2</v>
      </c>
      <c r="L49" s="91">
        <v>1.5E-3</v>
      </c>
      <c r="M49" s="91">
        <v>3.7000000000000002E-3</v>
      </c>
      <c r="N49" s="91">
        <v>-2.3999999999999998E-3</v>
      </c>
      <c r="O49" s="91">
        <v>3.8E-3</v>
      </c>
      <c r="P49" s="91">
        <v>4.1000000000000003E-3</v>
      </c>
    </row>
    <row r="50" spans="1:16" x14ac:dyDescent="0.3">
      <c r="A50" s="89" t="s">
        <v>45</v>
      </c>
      <c r="B50" s="89" t="s">
        <v>113</v>
      </c>
      <c r="C50" s="92" t="s">
        <v>111</v>
      </c>
      <c r="D50" s="93">
        <v>9</v>
      </c>
      <c r="E50" s="94">
        <v>0.21460000000000001</v>
      </c>
      <c r="F50" s="106">
        <v>0.15529999999999999</v>
      </c>
      <c r="G50" s="108">
        <v>3.869E-3</v>
      </c>
      <c r="H50" s="111">
        <v>2.8249999999999998E-3</v>
      </c>
      <c r="I50" s="107">
        <v>45</v>
      </c>
      <c r="J50" s="91">
        <v>1.5599999999999999E-2</v>
      </c>
      <c r="K50" s="91">
        <v>-1.5599999999999999E-2</v>
      </c>
      <c r="L50" s="91">
        <v>1.4E-3</v>
      </c>
      <c r="M50" s="91">
        <v>2.1999999999999999E-2</v>
      </c>
      <c r="N50" s="91">
        <v>-3.0999999999999999E-3</v>
      </c>
      <c r="O50" s="91">
        <v>2.8999999999999998E-3</v>
      </c>
      <c r="P50" s="91">
        <v>3.3E-3</v>
      </c>
    </row>
    <row r="51" spans="1:16" x14ac:dyDescent="0.3">
      <c r="A51" s="89" t="s">
        <v>45</v>
      </c>
      <c r="B51" s="89" t="s">
        <v>113</v>
      </c>
      <c r="C51" s="92" t="s">
        <v>111</v>
      </c>
      <c r="D51" s="93">
        <v>10</v>
      </c>
      <c r="E51" s="94">
        <v>0.21510000000000001</v>
      </c>
      <c r="F51" s="106">
        <v>0.15240000000000001</v>
      </c>
      <c r="G51" s="108">
        <v>3.7330000000000002E-3</v>
      </c>
      <c r="H51" s="111">
        <v>2.6459999999999999E-3</v>
      </c>
      <c r="I51" s="107">
        <v>45</v>
      </c>
      <c r="J51" s="91">
        <v>1.55E-2</v>
      </c>
      <c r="K51" s="91">
        <v>-1.55E-2</v>
      </c>
      <c r="L51" s="91">
        <v>5.9999999999999995E-4</v>
      </c>
      <c r="M51" s="91">
        <v>2.0999999999999999E-3</v>
      </c>
      <c r="N51" s="91">
        <v>-2E-3</v>
      </c>
      <c r="O51" s="91">
        <v>2.8E-3</v>
      </c>
      <c r="P51" s="91">
        <v>2.8999999999999998E-3</v>
      </c>
    </row>
    <row r="52" spans="1:16" x14ac:dyDescent="0.3">
      <c r="A52" s="89" t="s">
        <v>46</v>
      </c>
      <c r="B52" s="89" t="s">
        <v>100</v>
      </c>
      <c r="C52" s="92" t="s">
        <v>111</v>
      </c>
      <c r="D52" s="93">
        <v>1</v>
      </c>
      <c r="E52" s="106">
        <v>0.39479999999999998</v>
      </c>
      <c r="F52" s="106">
        <v>0.25330000000000003</v>
      </c>
      <c r="G52" s="109">
        <v>7.7600000000000004E-3</v>
      </c>
      <c r="H52" s="111">
        <v>4.5059999999999996E-3</v>
      </c>
      <c r="I52" s="107" t="s">
        <v>106</v>
      </c>
      <c r="J52" s="91" t="s">
        <v>106</v>
      </c>
      <c r="K52" s="91" t="s">
        <v>106</v>
      </c>
      <c r="L52" s="91" t="s">
        <v>106</v>
      </c>
      <c r="M52" s="91" t="s">
        <v>106</v>
      </c>
      <c r="N52" s="91" t="s">
        <v>106</v>
      </c>
      <c r="O52" s="91" t="s">
        <v>106</v>
      </c>
      <c r="P52" s="91" t="s">
        <v>106</v>
      </c>
    </row>
    <row r="53" spans="1:16" x14ac:dyDescent="0.3">
      <c r="A53" s="89" t="s">
        <v>46</v>
      </c>
      <c r="B53" s="89" t="s">
        <v>100</v>
      </c>
      <c r="C53" s="92" t="s">
        <v>111</v>
      </c>
      <c r="D53" s="93">
        <v>2</v>
      </c>
      <c r="E53" s="106">
        <v>0.39789999999999998</v>
      </c>
      <c r="F53" s="106">
        <v>0.25140000000000001</v>
      </c>
      <c r="G53" s="109">
        <v>8.2850000000000007E-3</v>
      </c>
      <c r="H53" s="111">
        <v>4.5170000000000002E-3</v>
      </c>
      <c r="I53" s="107">
        <v>45</v>
      </c>
      <c r="J53" s="91">
        <v>2.76E-2</v>
      </c>
      <c r="K53" s="91">
        <v>-2.76E-2</v>
      </c>
      <c r="L53" s="91">
        <v>1.1999999999999999E-3</v>
      </c>
      <c r="M53" s="91">
        <v>2.7000000000000001E-3</v>
      </c>
      <c r="N53" s="91">
        <v>-2.2000000000000001E-3</v>
      </c>
      <c r="O53" s="91">
        <v>4.7000000000000002E-3</v>
      </c>
      <c r="P53" s="91">
        <v>4.7999999999999996E-3</v>
      </c>
    </row>
    <row r="54" spans="1:16" x14ac:dyDescent="0.3">
      <c r="A54" s="89" t="s">
        <v>46</v>
      </c>
      <c r="B54" s="89" t="s">
        <v>100</v>
      </c>
      <c r="C54" s="92" t="s">
        <v>111</v>
      </c>
      <c r="D54" s="93">
        <v>3</v>
      </c>
      <c r="E54" s="106">
        <v>0.42830000000000001</v>
      </c>
      <c r="F54" s="106">
        <v>0.28129999999999999</v>
      </c>
      <c r="G54" s="109">
        <v>8.4930000000000005E-3</v>
      </c>
      <c r="H54" s="111">
        <v>5.2430000000000003E-3</v>
      </c>
      <c r="I54" s="107">
        <v>45</v>
      </c>
      <c r="J54" s="91">
        <v>2.76E-2</v>
      </c>
      <c r="K54" s="91">
        <v>-2.76E-2</v>
      </c>
      <c r="L54" s="91">
        <v>1.2999999999999999E-3</v>
      </c>
      <c r="M54" s="91">
        <v>5.7000000000000002E-3</v>
      </c>
      <c r="N54" s="91">
        <v>-5.3E-3</v>
      </c>
      <c r="O54" s="91">
        <v>7.1999999999999998E-3</v>
      </c>
      <c r="P54" s="91">
        <v>7.3000000000000001E-3</v>
      </c>
    </row>
    <row r="55" spans="1:16" x14ac:dyDescent="0.3">
      <c r="A55" s="89" t="s">
        <v>46</v>
      </c>
      <c r="B55" s="89" t="s">
        <v>100</v>
      </c>
      <c r="C55" s="92" t="s">
        <v>111</v>
      </c>
      <c r="D55" s="93">
        <v>4</v>
      </c>
      <c r="E55" s="106">
        <v>0.3674</v>
      </c>
      <c r="F55" s="106">
        <v>0.2334</v>
      </c>
      <c r="G55" s="109">
        <v>6.7359999999999998E-3</v>
      </c>
      <c r="H55" s="111">
        <v>4.0969999999999999E-3</v>
      </c>
      <c r="I55" s="107">
        <v>45</v>
      </c>
      <c r="J55" s="91">
        <v>2.75E-2</v>
      </c>
      <c r="K55" s="91">
        <v>-2.76E-2</v>
      </c>
      <c r="L55" s="91">
        <v>-8.9999999999999998E-4</v>
      </c>
      <c r="M55" s="91">
        <v>5.4999999999999997E-3</v>
      </c>
      <c r="N55" s="91">
        <v>-5.7000000000000002E-3</v>
      </c>
      <c r="O55" s="91">
        <v>7.1000000000000004E-3</v>
      </c>
      <c r="P55" s="91">
        <v>7.1999999999999998E-3</v>
      </c>
    </row>
    <row r="56" spans="1:16" x14ac:dyDescent="0.3">
      <c r="A56" s="89" t="s">
        <v>46</v>
      </c>
      <c r="B56" s="89" t="s">
        <v>100</v>
      </c>
      <c r="C56" s="92" t="s">
        <v>111</v>
      </c>
      <c r="D56" s="93">
        <v>5</v>
      </c>
      <c r="E56" s="106">
        <v>0.43009999999999998</v>
      </c>
      <c r="F56" s="106">
        <v>0.28439999999999999</v>
      </c>
      <c r="G56" s="109">
        <v>8.4189999999999994E-3</v>
      </c>
      <c r="H56" s="111">
        <v>5.2599999999999999E-3</v>
      </c>
      <c r="I56" s="107">
        <v>45</v>
      </c>
      <c r="J56" s="91">
        <v>2.76E-2</v>
      </c>
      <c r="K56" s="91">
        <v>-2.76E-2</v>
      </c>
      <c r="L56" s="91">
        <v>1.1999999999999999E-3</v>
      </c>
      <c r="M56" s="91">
        <v>7.7999999999999996E-3</v>
      </c>
      <c r="N56" s="91">
        <v>-6.6E-3</v>
      </c>
      <c r="O56" s="91">
        <v>9.2999999999999992E-3</v>
      </c>
      <c r="P56" s="91">
        <v>9.4000000000000004E-3</v>
      </c>
    </row>
    <row r="57" spans="1:16" x14ac:dyDescent="0.3">
      <c r="A57" s="89" t="s">
        <v>46</v>
      </c>
      <c r="B57" s="89" t="s">
        <v>100</v>
      </c>
      <c r="C57" s="92" t="s">
        <v>111</v>
      </c>
      <c r="D57" s="93">
        <v>6</v>
      </c>
      <c r="E57" s="106">
        <v>0.34610000000000002</v>
      </c>
      <c r="F57" s="106">
        <v>0.21820000000000001</v>
      </c>
      <c r="G57" s="109">
        <v>5.9690000000000003E-3</v>
      </c>
      <c r="H57" s="111">
        <v>3.7130000000000002E-3</v>
      </c>
      <c r="I57" s="107">
        <v>45</v>
      </c>
      <c r="J57" s="91">
        <v>2.76E-2</v>
      </c>
      <c r="K57" s="91">
        <v>-2.76E-2</v>
      </c>
      <c r="L57" s="91">
        <v>-1.6000000000000001E-3</v>
      </c>
      <c r="M57" s="91">
        <v>5.0000000000000001E-3</v>
      </c>
      <c r="N57" s="91">
        <v>-6.1999999999999998E-3</v>
      </c>
      <c r="O57" s="91">
        <v>7.4000000000000003E-3</v>
      </c>
      <c r="P57" s="91">
        <v>7.6E-3</v>
      </c>
    </row>
    <row r="58" spans="1:16" x14ac:dyDescent="0.3">
      <c r="A58" s="89" t="s">
        <v>46</v>
      </c>
      <c r="B58" s="89" t="s">
        <v>100</v>
      </c>
      <c r="C58" s="92" t="s">
        <v>111</v>
      </c>
      <c r="D58" s="93">
        <v>7</v>
      </c>
      <c r="E58" s="106">
        <v>0.37890000000000001</v>
      </c>
      <c r="F58" s="106">
        <v>0.25580000000000003</v>
      </c>
      <c r="G58" s="109">
        <v>6.1520000000000004E-3</v>
      </c>
      <c r="H58" s="111">
        <v>3.9480000000000001E-3</v>
      </c>
      <c r="I58" s="107">
        <v>45</v>
      </c>
      <c r="J58" s="91">
        <v>2.75E-2</v>
      </c>
      <c r="K58" s="91">
        <v>-2.76E-2</v>
      </c>
      <c r="L58" s="91">
        <v>-1.6999999999999999E-3</v>
      </c>
      <c r="M58" s="91">
        <v>2E-3</v>
      </c>
      <c r="N58" s="91">
        <v>-4.4000000000000003E-3</v>
      </c>
      <c r="O58" s="91">
        <v>5.8999999999999999E-3</v>
      </c>
      <c r="P58" s="91">
        <v>6.1000000000000004E-3</v>
      </c>
    </row>
    <row r="59" spans="1:16" x14ac:dyDescent="0.3">
      <c r="A59" s="89" t="s">
        <v>46</v>
      </c>
      <c r="B59" s="89" t="s">
        <v>100</v>
      </c>
      <c r="C59" s="92" t="s">
        <v>111</v>
      </c>
      <c r="D59" s="93">
        <v>8</v>
      </c>
      <c r="E59" s="106">
        <v>0.40739999999999998</v>
      </c>
      <c r="F59" s="106">
        <v>0.27039999999999997</v>
      </c>
      <c r="G59" s="109">
        <v>7.9030000000000003E-3</v>
      </c>
      <c r="H59" s="111">
        <v>4.7410000000000004E-3</v>
      </c>
      <c r="I59" s="107">
        <v>45</v>
      </c>
      <c r="J59" s="91">
        <v>2.75E-2</v>
      </c>
      <c r="K59" s="91">
        <v>-2.76E-2</v>
      </c>
      <c r="L59" s="91">
        <v>1E-3</v>
      </c>
      <c r="M59" s="91">
        <v>4.1000000000000003E-3</v>
      </c>
      <c r="N59" s="91">
        <v>-3.5999999999999999E-3</v>
      </c>
      <c r="O59" s="91">
        <v>5.7999999999999996E-3</v>
      </c>
      <c r="P59" s="91">
        <v>5.8999999999999999E-3</v>
      </c>
    </row>
    <row r="60" spans="1:16" x14ac:dyDescent="0.3">
      <c r="A60" s="89" t="s">
        <v>46</v>
      </c>
      <c r="B60" s="89" t="s">
        <v>100</v>
      </c>
      <c r="C60" s="92" t="s">
        <v>111</v>
      </c>
      <c r="D60" s="93">
        <v>9</v>
      </c>
      <c r="E60" s="106">
        <v>0.40529999999999999</v>
      </c>
      <c r="F60" s="106">
        <v>0.26629999999999998</v>
      </c>
      <c r="G60" s="109">
        <v>7.6400000000000001E-3</v>
      </c>
      <c r="H60" s="111">
        <v>4.6360000000000004E-3</v>
      </c>
      <c r="I60" s="107">
        <v>45</v>
      </c>
      <c r="J60" s="91">
        <v>2.75E-2</v>
      </c>
      <c r="K60" s="91">
        <v>-2.76E-2</v>
      </c>
      <c r="L60" s="91">
        <v>4.0000000000000002E-4</v>
      </c>
      <c r="M60" s="91">
        <v>3.8999999999999998E-3</v>
      </c>
      <c r="N60" s="91">
        <v>-4.1999999999999997E-3</v>
      </c>
      <c r="O60" s="91">
        <v>5.8999999999999999E-3</v>
      </c>
      <c r="P60" s="91">
        <v>5.8999999999999999E-3</v>
      </c>
    </row>
    <row r="61" spans="1:16" x14ac:dyDescent="0.3">
      <c r="A61" s="89" t="s">
        <v>46</v>
      </c>
      <c r="B61" s="89" t="s">
        <v>100</v>
      </c>
      <c r="C61" s="92" t="s">
        <v>111</v>
      </c>
      <c r="D61" s="93">
        <v>10</v>
      </c>
      <c r="E61" s="106">
        <v>0.40389999999999998</v>
      </c>
      <c r="F61" s="106">
        <v>0.28620000000000001</v>
      </c>
      <c r="G61" s="109">
        <v>6.2859999999999999E-3</v>
      </c>
      <c r="H61" s="111">
        <v>4.5589999999999997E-3</v>
      </c>
      <c r="I61" s="107">
        <v>45</v>
      </c>
      <c r="J61" s="91">
        <v>2.76E-2</v>
      </c>
      <c r="K61" s="91">
        <v>-2.76E-2</v>
      </c>
      <c r="L61" s="91">
        <v>5.0000000000000001E-4</v>
      </c>
      <c r="M61" s="91">
        <v>3.5999999999999999E-3</v>
      </c>
      <c r="N61" s="91">
        <v>-3.8999999999999998E-3</v>
      </c>
      <c r="O61" s="91">
        <v>6.3E-3</v>
      </c>
      <c r="P61" s="91">
        <v>6.3E-3</v>
      </c>
    </row>
    <row r="62" spans="1:16" hidden="1" x14ac:dyDescent="0.3">
      <c r="A62" s="89" t="s">
        <v>55</v>
      </c>
      <c r="B62" s="89" t="s">
        <v>101</v>
      </c>
      <c r="C62" s="92" t="s">
        <v>112</v>
      </c>
      <c r="D62" s="93">
        <v>1</v>
      </c>
      <c r="E62" s="91">
        <v>3.5200000000000002E-2</v>
      </c>
      <c r="F62" s="106">
        <v>2.6800000000000001E-2</v>
      </c>
      <c r="G62" s="110">
        <v>3.5690899999999998E-4</v>
      </c>
      <c r="H62" s="111">
        <v>1.8799999999999999E-4</v>
      </c>
      <c r="I62" s="107" t="s">
        <v>106</v>
      </c>
      <c r="J62" s="91" t="s">
        <v>106</v>
      </c>
      <c r="K62" s="91" t="s">
        <v>106</v>
      </c>
      <c r="L62" s="91" t="s">
        <v>106</v>
      </c>
      <c r="M62" s="91" t="s">
        <v>106</v>
      </c>
      <c r="N62" s="91" t="s">
        <v>106</v>
      </c>
      <c r="O62" s="91" t="s">
        <v>106</v>
      </c>
      <c r="P62" s="91" t="s">
        <v>106</v>
      </c>
    </row>
    <row r="63" spans="1:16" hidden="1" x14ac:dyDescent="0.3">
      <c r="A63" s="89" t="s">
        <v>55</v>
      </c>
      <c r="B63" s="89" t="s">
        <v>101</v>
      </c>
      <c r="C63" s="92" t="s">
        <v>112</v>
      </c>
      <c r="D63" s="93">
        <v>2</v>
      </c>
      <c r="E63" s="94">
        <v>3.4000000000000002E-2</v>
      </c>
      <c r="F63" s="106">
        <v>2.53E-2</v>
      </c>
      <c r="G63" s="108">
        <v>4.2046899999999998E-4</v>
      </c>
      <c r="H63" s="111">
        <v>1.95E-4</v>
      </c>
      <c r="I63" s="107">
        <v>45</v>
      </c>
      <c r="J63" s="91">
        <v>5.7000000000000002E-3</v>
      </c>
      <c r="K63" s="91">
        <v>-4.4000000000000003E-3</v>
      </c>
      <c r="L63" s="91">
        <v>1.5E-3</v>
      </c>
      <c r="M63" s="91">
        <v>1.6999999999999999E-3</v>
      </c>
      <c r="N63" s="91">
        <v>-6.9999999999999999E-4</v>
      </c>
      <c r="O63" s="91">
        <v>1.1000000000000001E-3</v>
      </c>
      <c r="P63" s="91">
        <v>1.9E-3</v>
      </c>
    </row>
    <row r="64" spans="1:16" hidden="1" x14ac:dyDescent="0.3">
      <c r="A64" s="89" t="s">
        <v>55</v>
      </c>
      <c r="B64" s="89" t="s">
        <v>101</v>
      </c>
      <c r="C64" s="92" t="s">
        <v>112</v>
      </c>
      <c r="D64" s="93">
        <v>3</v>
      </c>
      <c r="E64" s="94">
        <v>3.39E-2</v>
      </c>
      <c r="F64" s="106">
        <v>2.52E-2</v>
      </c>
      <c r="G64" s="108">
        <v>4.1996399999999999E-4</v>
      </c>
      <c r="H64" s="111">
        <v>1.9599999999999999E-4</v>
      </c>
      <c r="I64" s="107">
        <v>45</v>
      </c>
      <c r="J64" s="91">
        <v>5.7000000000000002E-3</v>
      </c>
      <c r="K64" s="91">
        <v>-4.1999999999999997E-3</v>
      </c>
      <c r="L64" s="91">
        <v>1.5E-3</v>
      </c>
      <c r="M64" s="91">
        <v>1.6999999999999999E-3</v>
      </c>
      <c r="N64" s="91">
        <v>-8.9999999999999998E-4</v>
      </c>
      <c r="O64" s="91">
        <v>1.1999999999999999E-3</v>
      </c>
      <c r="P64" s="91">
        <v>1.9E-3</v>
      </c>
    </row>
    <row r="65" spans="1:16" hidden="1" x14ac:dyDescent="0.3">
      <c r="A65" s="89" t="s">
        <v>55</v>
      </c>
      <c r="B65" s="89" t="s">
        <v>101</v>
      </c>
      <c r="C65" s="92" t="s">
        <v>112</v>
      </c>
      <c r="D65" s="93">
        <v>4</v>
      </c>
      <c r="E65" s="94">
        <v>3.56E-2</v>
      </c>
      <c r="F65" s="106">
        <v>2.7099999999999999E-2</v>
      </c>
      <c r="G65" s="108">
        <v>3.6245299999999999E-4</v>
      </c>
      <c r="H65" s="111">
        <v>1.73E-4</v>
      </c>
      <c r="I65" s="107">
        <v>45</v>
      </c>
      <c r="J65" s="91">
        <v>5.7000000000000002E-3</v>
      </c>
      <c r="K65" s="91">
        <v>-4.3E-3</v>
      </c>
      <c r="L65" s="91">
        <v>2.0000000000000001E-4</v>
      </c>
      <c r="M65" s="91">
        <v>2.9999999999999997E-4</v>
      </c>
      <c r="N65" s="91">
        <v>-4.0000000000000002E-4</v>
      </c>
      <c r="O65" s="91">
        <v>5.9999999999999995E-4</v>
      </c>
      <c r="P65" s="91">
        <v>5.9999999999999995E-4</v>
      </c>
    </row>
    <row r="66" spans="1:16" hidden="1" x14ac:dyDescent="0.3">
      <c r="A66" s="89" t="s">
        <v>55</v>
      </c>
      <c r="B66" s="89" t="s">
        <v>101</v>
      </c>
      <c r="C66" s="92" t="s">
        <v>112</v>
      </c>
      <c r="D66" s="93">
        <v>5</v>
      </c>
      <c r="E66" s="94">
        <v>3.4500000000000003E-2</v>
      </c>
      <c r="F66" s="106">
        <v>2.8299999999999999E-2</v>
      </c>
      <c r="G66" s="108">
        <v>2.6588300000000002E-4</v>
      </c>
      <c r="H66" s="111">
        <v>1.55E-4</v>
      </c>
      <c r="I66" s="107">
        <v>45</v>
      </c>
      <c r="J66" s="91">
        <v>5.5999999999999999E-3</v>
      </c>
      <c r="K66" s="91">
        <v>-5.7000000000000002E-3</v>
      </c>
      <c r="L66" s="91">
        <v>-8.9999999999999998E-4</v>
      </c>
      <c r="M66" s="91">
        <v>1.1999999999999999E-3</v>
      </c>
      <c r="N66" s="91">
        <v>-1.6999999999999999E-3</v>
      </c>
      <c r="O66" s="91">
        <v>1.6000000000000001E-3</v>
      </c>
      <c r="P66" s="91">
        <v>1.8E-3</v>
      </c>
    </row>
    <row r="67" spans="1:16" hidden="1" x14ac:dyDescent="0.3">
      <c r="A67" s="89" t="s">
        <v>55</v>
      </c>
      <c r="B67" s="89" t="s">
        <v>101</v>
      </c>
      <c r="C67" s="92" t="s">
        <v>112</v>
      </c>
      <c r="D67" s="93">
        <v>6</v>
      </c>
      <c r="E67" s="94">
        <v>3.5200000000000002E-2</v>
      </c>
      <c r="F67" s="106">
        <v>2.69E-2</v>
      </c>
      <c r="G67" s="108">
        <v>3.5768799999999999E-4</v>
      </c>
      <c r="H67" s="111">
        <v>1.7100000000000001E-4</v>
      </c>
      <c r="I67" s="107">
        <v>45</v>
      </c>
      <c r="J67" s="91">
        <v>4.4999999999999997E-3</v>
      </c>
      <c r="K67" s="91">
        <v>-5.4999999999999997E-3</v>
      </c>
      <c r="L67" s="91">
        <v>1E-4</v>
      </c>
      <c r="M67" s="91">
        <v>2.0000000000000001E-4</v>
      </c>
      <c r="N67" s="91">
        <v>-2.9999999999999997E-4</v>
      </c>
      <c r="O67" s="91">
        <v>4.0000000000000002E-4</v>
      </c>
      <c r="P67" s="91">
        <v>4.0000000000000002E-4</v>
      </c>
    </row>
    <row r="68" spans="1:16" hidden="1" x14ac:dyDescent="0.3">
      <c r="A68" s="89" t="s">
        <v>55</v>
      </c>
      <c r="B68" s="89" t="s">
        <v>101</v>
      </c>
      <c r="C68" s="92" t="s">
        <v>112</v>
      </c>
      <c r="D68" s="93">
        <v>7</v>
      </c>
      <c r="E68" s="94">
        <v>3.6400000000000002E-2</v>
      </c>
      <c r="F68" s="106">
        <v>2.7400000000000001E-2</v>
      </c>
      <c r="G68" s="108">
        <v>3.3890199999999997E-4</v>
      </c>
      <c r="H68" s="111">
        <v>1.66E-4</v>
      </c>
      <c r="I68" s="107">
        <v>45</v>
      </c>
      <c r="J68" s="91">
        <v>5.5999999999999999E-3</v>
      </c>
      <c r="K68" s="91">
        <v>-5.7000000000000002E-3</v>
      </c>
      <c r="L68" s="91">
        <v>-2.0000000000000001E-4</v>
      </c>
      <c r="M68" s="91">
        <v>6.9999999999999999E-4</v>
      </c>
      <c r="N68" s="91">
        <v>-8.0000000000000004E-4</v>
      </c>
      <c r="O68" s="91">
        <v>8.9999999999999998E-4</v>
      </c>
      <c r="P68" s="91">
        <v>8.9999999999999998E-4</v>
      </c>
    </row>
    <row r="69" spans="1:16" hidden="1" x14ac:dyDescent="0.3">
      <c r="A69" s="89" t="s">
        <v>55</v>
      </c>
      <c r="B69" s="89" t="s">
        <v>101</v>
      </c>
      <c r="C69" s="92" t="s">
        <v>112</v>
      </c>
      <c r="D69" s="93">
        <v>8</v>
      </c>
      <c r="E69" s="94">
        <v>3.5000000000000003E-2</v>
      </c>
      <c r="F69" s="106">
        <v>2.7E-2</v>
      </c>
      <c r="G69" s="108">
        <v>3.4679699999999998E-4</v>
      </c>
      <c r="H69" s="111">
        <v>1.6899999999999999E-4</v>
      </c>
      <c r="I69" s="107">
        <v>45</v>
      </c>
      <c r="J69" s="91">
        <v>5.0000000000000001E-3</v>
      </c>
      <c r="K69" s="91">
        <v>-5.4999999999999997E-3</v>
      </c>
      <c r="L69" s="91">
        <v>0</v>
      </c>
      <c r="M69" s="91">
        <v>4.0000000000000002E-4</v>
      </c>
      <c r="N69" s="91">
        <v>-4.0000000000000003E-5</v>
      </c>
      <c r="O69" s="91">
        <v>5.9999999999999995E-4</v>
      </c>
      <c r="P69" s="91">
        <v>5.9999999999999995E-4</v>
      </c>
    </row>
    <row r="70" spans="1:16" hidden="1" x14ac:dyDescent="0.3">
      <c r="A70" s="89" t="s">
        <v>55</v>
      </c>
      <c r="B70" s="89" t="s">
        <v>101</v>
      </c>
      <c r="C70" s="92" t="s">
        <v>112</v>
      </c>
      <c r="D70" s="93">
        <v>9</v>
      </c>
      <c r="E70" s="94">
        <v>3.5099999999999999E-2</v>
      </c>
      <c r="F70" s="106">
        <v>2.7099999999999999E-2</v>
      </c>
      <c r="G70" s="108">
        <v>3.5604499999999998E-4</v>
      </c>
      <c r="H70" s="111">
        <v>1.73E-4</v>
      </c>
      <c r="I70" s="107">
        <v>45</v>
      </c>
      <c r="J70" s="91">
        <v>4.3E-3</v>
      </c>
      <c r="K70" s="91">
        <v>-5.4999999999999997E-3</v>
      </c>
      <c r="L70" s="91">
        <v>1E-4</v>
      </c>
      <c r="M70" s="91">
        <v>2.9999999999999997E-4</v>
      </c>
      <c r="N70" s="91">
        <v>-4.0000000000000002E-4</v>
      </c>
      <c r="O70" s="91">
        <v>5.0000000000000001E-4</v>
      </c>
      <c r="P70" s="91">
        <v>5.0000000000000001E-4</v>
      </c>
    </row>
    <row r="71" spans="1:16" hidden="1" x14ac:dyDescent="0.3">
      <c r="A71" s="89" t="s">
        <v>55</v>
      </c>
      <c r="B71" s="89" t="s">
        <v>101</v>
      </c>
      <c r="C71" s="92" t="s">
        <v>112</v>
      </c>
      <c r="D71" s="93">
        <v>10</v>
      </c>
      <c r="E71" s="94">
        <v>3.4700000000000002E-2</v>
      </c>
      <c r="F71" s="106">
        <v>2.8199999999999999E-2</v>
      </c>
      <c r="G71" s="108">
        <v>2.8849000000000002E-4</v>
      </c>
      <c r="H71" s="111">
        <v>1.63E-4</v>
      </c>
      <c r="I71" s="107">
        <v>45</v>
      </c>
      <c r="J71" s="91">
        <v>5.3E-3</v>
      </c>
      <c r="K71" s="91">
        <v>-5.7000000000000002E-3</v>
      </c>
      <c r="L71" s="91">
        <v>-5.0000000000000001E-4</v>
      </c>
      <c r="M71" s="91">
        <v>1.1000000000000001E-3</v>
      </c>
      <c r="N71" s="91">
        <v>-1.2999999999999999E-3</v>
      </c>
      <c r="O71" s="91">
        <v>1.4E-3</v>
      </c>
      <c r="P71" s="91">
        <v>1.5E-3</v>
      </c>
    </row>
    <row r="72" spans="1:16" x14ac:dyDescent="0.3">
      <c r="A72" s="92" t="s">
        <v>63</v>
      </c>
      <c r="B72" s="92" t="s">
        <v>102</v>
      </c>
      <c r="C72" s="92" t="s">
        <v>111</v>
      </c>
      <c r="D72" s="93">
        <v>1</v>
      </c>
      <c r="E72" s="94">
        <v>2.4899999999999999E-2</v>
      </c>
      <c r="F72" s="106">
        <v>1.9599999999999999E-2</v>
      </c>
      <c r="G72" s="108">
        <v>1.9929799999999999E-4</v>
      </c>
      <c r="H72" s="112">
        <v>1.7799999999999999E-4</v>
      </c>
      <c r="I72" s="107" t="s">
        <v>106</v>
      </c>
      <c r="J72" s="91" t="s">
        <v>106</v>
      </c>
      <c r="K72" s="91" t="s">
        <v>106</v>
      </c>
      <c r="L72" s="91" t="s">
        <v>106</v>
      </c>
      <c r="M72" s="91" t="s">
        <v>106</v>
      </c>
      <c r="N72" s="91" t="s">
        <v>106</v>
      </c>
      <c r="O72" s="91" t="s">
        <v>106</v>
      </c>
      <c r="P72" s="91" t="s">
        <v>106</v>
      </c>
    </row>
    <row r="73" spans="1:16" x14ac:dyDescent="0.3">
      <c r="A73" s="92" t="s">
        <v>63</v>
      </c>
      <c r="B73" s="92" t="s">
        <v>102</v>
      </c>
      <c r="C73" s="92" t="s">
        <v>111</v>
      </c>
      <c r="D73" s="93">
        <v>2</v>
      </c>
      <c r="E73" s="94">
        <v>2.4899999999999999E-2</v>
      </c>
      <c r="F73" s="106">
        <v>1.9599999999999999E-2</v>
      </c>
      <c r="G73" s="108">
        <v>2.0457099999999999E-4</v>
      </c>
      <c r="H73" s="111">
        <v>1.7899999999999999E-4</v>
      </c>
      <c r="I73" s="107">
        <v>45</v>
      </c>
      <c r="J73" s="91">
        <v>4.7000000000000002E-3</v>
      </c>
      <c r="K73" s="91">
        <v>-4.5999999999999999E-3</v>
      </c>
      <c r="L73" s="91">
        <v>2.0000000000000001E-4</v>
      </c>
      <c r="M73" s="91">
        <v>4.0000000000000002E-4</v>
      </c>
      <c r="N73" s="91">
        <v>-2.9999999999999997E-4</v>
      </c>
      <c r="O73" s="91">
        <v>5.9999999999999995E-4</v>
      </c>
      <c r="P73" s="91">
        <v>6.9999999999999999E-4</v>
      </c>
    </row>
    <row r="74" spans="1:16" x14ac:dyDescent="0.3">
      <c r="A74" s="92" t="s">
        <v>63</v>
      </c>
      <c r="B74" s="92" t="s">
        <v>102</v>
      </c>
      <c r="C74" s="92" t="s">
        <v>111</v>
      </c>
      <c r="D74" s="93">
        <v>3</v>
      </c>
      <c r="E74" s="94">
        <v>2.4199999999999999E-2</v>
      </c>
      <c r="F74" s="106">
        <v>1.9599999999999999E-2</v>
      </c>
      <c r="G74" s="108">
        <v>2.01101E-4</v>
      </c>
      <c r="H74" s="111">
        <v>1.7899999999999999E-4</v>
      </c>
      <c r="I74" s="107">
        <v>45</v>
      </c>
      <c r="J74" s="91">
        <v>4.7000000000000002E-3</v>
      </c>
      <c r="K74" s="91">
        <v>-4.7000000000000002E-3</v>
      </c>
      <c r="L74" s="91">
        <v>1E-4</v>
      </c>
      <c r="M74" s="91">
        <v>2.9999999999999997E-4</v>
      </c>
      <c r="N74" s="91">
        <v>-4.0000000000000002E-4</v>
      </c>
      <c r="O74" s="91">
        <v>6.9999999999999999E-4</v>
      </c>
      <c r="P74" s="91">
        <v>6.9999999999999999E-4</v>
      </c>
    </row>
    <row r="75" spans="1:16" x14ac:dyDescent="0.3">
      <c r="A75" s="92" t="s">
        <v>63</v>
      </c>
      <c r="B75" s="92" t="s">
        <v>102</v>
      </c>
      <c r="C75" s="92" t="s">
        <v>111</v>
      </c>
      <c r="D75" s="93">
        <v>4</v>
      </c>
      <c r="E75" s="94">
        <v>2.5100000000000001E-2</v>
      </c>
      <c r="F75" s="106">
        <v>1.95E-2</v>
      </c>
      <c r="G75" s="108">
        <v>2.07767E-4</v>
      </c>
      <c r="H75" s="111">
        <v>1.7899999999999999E-4</v>
      </c>
      <c r="I75" s="107">
        <v>45</v>
      </c>
      <c r="J75" s="91">
        <v>4.7000000000000002E-3</v>
      </c>
      <c r="K75" s="91">
        <v>-4.7000000000000002E-3</v>
      </c>
      <c r="L75" s="91">
        <v>2.0000000000000001E-4</v>
      </c>
      <c r="M75" s="91">
        <v>4.0000000000000002E-4</v>
      </c>
      <c r="N75" s="91">
        <v>-2.9999999999999997E-4</v>
      </c>
      <c r="O75" s="91">
        <v>6.9999999999999999E-4</v>
      </c>
      <c r="P75" s="91">
        <v>8.0000000000000004E-4</v>
      </c>
    </row>
    <row r="76" spans="1:16" x14ac:dyDescent="0.3">
      <c r="A76" s="92" t="s">
        <v>63</v>
      </c>
      <c r="B76" s="92" t="s">
        <v>102</v>
      </c>
      <c r="C76" s="92" t="s">
        <v>111</v>
      </c>
      <c r="D76" s="93">
        <v>5</v>
      </c>
      <c r="E76" s="94">
        <v>2.4799999999999999E-2</v>
      </c>
      <c r="F76" s="106">
        <v>1.9199999999999998E-2</v>
      </c>
      <c r="G76" s="108">
        <v>2.07006E-4</v>
      </c>
      <c r="H76" s="111">
        <v>1.7799999999999999E-4</v>
      </c>
      <c r="I76" s="107">
        <v>45</v>
      </c>
      <c r="J76" s="91">
        <v>4.7000000000000002E-3</v>
      </c>
      <c r="K76" s="91">
        <v>-4.5999999999999999E-3</v>
      </c>
      <c r="L76" s="91">
        <v>1E-4</v>
      </c>
      <c r="M76" s="91">
        <v>4.0000000000000002E-4</v>
      </c>
      <c r="N76" s="91">
        <v>-2.9999999999999997E-4</v>
      </c>
      <c r="O76" s="91">
        <v>6.9999999999999999E-4</v>
      </c>
      <c r="P76" s="91">
        <v>6.9999999999999999E-4</v>
      </c>
    </row>
    <row r="77" spans="1:16" x14ac:dyDescent="0.3">
      <c r="A77" s="92" t="s">
        <v>63</v>
      </c>
      <c r="B77" s="92" t="s">
        <v>102</v>
      </c>
      <c r="C77" s="92" t="s">
        <v>111</v>
      </c>
      <c r="D77" s="93">
        <v>6</v>
      </c>
      <c r="E77" s="94">
        <v>2.5399999999999999E-2</v>
      </c>
      <c r="F77" s="106">
        <v>1.95E-2</v>
      </c>
      <c r="G77" s="108">
        <v>1.9822399999999999E-4</v>
      </c>
      <c r="H77" s="111">
        <v>1.8000000000000001E-4</v>
      </c>
      <c r="I77" s="107">
        <v>45</v>
      </c>
      <c r="J77" s="91">
        <v>4.5999999999999999E-3</v>
      </c>
      <c r="K77" s="91">
        <v>-4.7000000000000002E-3</v>
      </c>
      <c r="L77" s="91">
        <v>1E-4</v>
      </c>
      <c r="M77" s="91">
        <v>4.0000000000000002E-4</v>
      </c>
      <c r="N77" s="91">
        <v>-5.0000000000000001E-4</v>
      </c>
      <c r="O77" s="91">
        <v>6.9999999999999999E-4</v>
      </c>
      <c r="P77" s="91">
        <v>6.9999999999999999E-4</v>
      </c>
    </row>
    <row r="78" spans="1:16" x14ac:dyDescent="0.3">
      <c r="A78" s="92" t="s">
        <v>63</v>
      </c>
      <c r="B78" s="92" t="s">
        <v>102</v>
      </c>
      <c r="C78" s="92" t="s">
        <v>111</v>
      </c>
      <c r="D78" s="93">
        <v>7</v>
      </c>
      <c r="E78" s="94">
        <v>2.41E-2</v>
      </c>
      <c r="F78" s="106">
        <v>1.9300000000000001E-2</v>
      </c>
      <c r="G78" s="108">
        <v>2.00934E-4</v>
      </c>
      <c r="H78" s="113">
        <v>1.7799999999999999E-4</v>
      </c>
      <c r="I78" s="107">
        <v>45</v>
      </c>
      <c r="J78" s="91">
        <v>4.5999999999999999E-3</v>
      </c>
      <c r="K78" s="91">
        <v>-4.5999999999999999E-3</v>
      </c>
      <c r="L78" s="94">
        <v>1E-4</v>
      </c>
      <c r="M78" s="94">
        <v>2.9999999999999997E-4</v>
      </c>
      <c r="N78" s="94">
        <v>-4.0000000000000002E-4</v>
      </c>
      <c r="O78" s="94">
        <v>6.9999999999999999E-4</v>
      </c>
      <c r="P78" s="94">
        <v>6.9999999999999999E-4</v>
      </c>
    </row>
    <row r="79" spans="1:16" x14ac:dyDescent="0.3">
      <c r="A79" s="92" t="s">
        <v>63</v>
      </c>
      <c r="B79" s="92" t="s">
        <v>102</v>
      </c>
      <c r="C79" s="92" t="s">
        <v>111</v>
      </c>
      <c r="D79" s="93">
        <v>8</v>
      </c>
      <c r="E79" s="94">
        <v>2.46E-2</v>
      </c>
      <c r="F79" s="106">
        <v>1.9300000000000001E-2</v>
      </c>
      <c r="G79" s="108">
        <v>2.0672799999999999E-4</v>
      </c>
      <c r="H79" s="111">
        <v>1.7899999999999999E-4</v>
      </c>
      <c r="I79" s="107">
        <v>45</v>
      </c>
      <c r="J79" s="91">
        <v>4.5999999999999999E-3</v>
      </c>
      <c r="K79" s="91">
        <v>-4.4000000000000003E-3</v>
      </c>
      <c r="L79" s="106">
        <v>2.0000000000000001E-4</v>
      </c>
      <c r="M79" s="106">
        <v>4.0000000000000002E-4</v>
      </c>
      <c r="N79" s="106">
        <v>-2.0000000000000001E-4</v>
      </c>
      <c r="O79" s="106">
        <v>5.9999999999999995E-4</v>
      </c>
      <c r="P79" s="106">
        <v>5.9999999999999995E-4</v>
      </c>
    </row>
    <row r="80" spans="1:16" x14ac:dyDescent="0.3">
      <c r="A80" s="92" t="s">
        <v>63</v>
      </c>
      <c r="B80" s="92" t="s">
        <v>102</v>
      </c>
      <c r="C80" s="92" t="s">
        <v>111</v>
      </c>
      <c r="D80" s="93">
        <v>9</v>
      </c>
      <c r="E80" s="94">
        <v>2.4E-2</v>
      </c>
      <c r="F80" s="106">
        <v>1.9400000000000001E-2</v>
      </c>
      <c r="G80" s="108">
        <v>2.01552E-4</v>
      </c>
      <c r="H80" s="111">
        <v>1.7799999999999999E-4</v>
      </c>
      <c r="I80" s="107">
        <v>45</v>
      </c>
      <c r="J80" s="91">
        <v>4.7000000000000002E-3</v>
      </c>
      <c r="K80" s="91">
        <v>-4.5999999999999999E-3</v>
      </c>
      <c r="L80" s="91">
        <v>0</v>
      </c>
      <c r="M80" s="91">
        <v>2.9999999999999997E-4</v>
      </c>
      <c r="N80" s="91">
        <v>-2.9999999999999997E-4</v>
      </c>
      <c r="O80" s="94">
        <v>6.9999999999999999E-4</v>
      </c>
      <c r="P80" s="94">
        <v>6.9999999999999999E-4</v>
      </c>
    </row>
    <row r="81" spans="1:16" x14ac:dyDescent="0.3">
      <c r="A81" s="92" t="s">
        <v>63</v>
      </c>
      <c r="B81" s="92" t="s">
        <v>102</v>
      </c>
      <c r="C81" s="92" t="s">
        <v>111</v>
      </c>
      <c r="D81" s="93">
        <v>10</v>
      </c>
      <c r="E81" s="94">
        <v>2.5000000000000001E-2</v>
      </c>
      <c r="F81" s="106">
        <v>1.95E-2</v>
      </c>
      <c r="G81" s="108">
        <v>2.05446E-4</v>
      </c>
      <c r="H81" s="111">
        <v>1.7899999999999999E-4</v>
      </c>
      <c r="I81" s="107">
        <v>45</v>
      </c>
      <c r="J81" s="91">
        <v>4.7000000000000002E-3</v>
      </c>
      <c r="K81" s="91">
        <v>-4.7000000000000002E-3</v>
      </c>
      <c r="L81" s="91">
        <v>1E-4</v>
      </c>
      <c r="M81" s="91">
        <v>2.9999999999999997E-4</v>
      </c>
      <c r="N81" s="91">
        <v>-2.9999999999999997E-4</v>
      </c>
      <c r="O81" s="94">
        <v>6.9999999999999999E-4</v>
      </c>
      <c r="P81" s="94">
        <v>6.9999999999999999E-4</v>
      </c>
    </row>
    <row r="82" spans="1:16" hidden="1" x14ac:dyDescent="0.3">
      <c r="A82" s="89" t="s">
        <v>68</v>
      </c>
      <c r="B82" s="89" t="s">
        <v>103</v>
      </c>
      <c r="C82" s="92" t="s">
        <v>27</v>
      </c>
      <c r="D82" s="93">
        <v>1</v>
      </c>
      <c r="E82" s="94">
        <v>1.2231000000000001</v>
      </c>
      <c r="F82" s="114">
        <v>0.65069999999999995</v>
      </c>
      <c r="G82" s="106">
        <v>8.3020000000000004E-3</v>
      </c>
      <c r="H82" s="106">
        <v>8.3020000000000004E-3</v>
      </c>
      <c r="I82" s="107" t="s">
        <v>106</v>
      </c>
      <c r="J82" s="91" t="s">
        <v>106</v>
      </c>
      <c r="K82" s="91" t="s">
        <v>106</v>
      </c>
      <c r="L82" s="91" t="s">
        <v>106</v>
      </c>
      <c r="M82" s="91" t="s">
        <v>106</v>
      </c>
      <c r="N82" s="91" t="s">
        <v>106</v>
      </c>
      <c r="O82" s="91" t="s">
        <v>106</v>
      </c>
      <c r="P82" s="91" t="s">
        <v>106</v>
      </c>
    </row>
    <row r="83" spans="1:16" hidden="1" x14ac:dyDescent="0.3">
      <c r="A83" s="89" t="s">
        <v>68</v>
      </c>
      <c r="B83" s="89" t="s">
        <v>103</v>
      </c>
      <c r="C83" s="92" t="s">
        <v>27</v>
      </c>
      <c r="D83" s="93">
        <v>2</v>
      </c>
      <c r="E83" s="94">
        <v>1.2262999999999999</v>
      </c>
      <c r="F83" s="114">
        <v>0.65849999999999997</v>
      </c>
      <c r="G83" s="106">
        <v>8.1399999999999997E-3</v>
      </c>
      <c r="H83" s="106">
        <v>8.1399999999999997E-3</v>
      </c>
      <c r="I83" s="107">
        <v>45</v>
      </c>
      <c r="J83" s="91">
        <v>4.2200000000000001E-2</v>
      </c>
      <c r="K83" s="91">
        <v>-4.2200000000000001E-2</v>
      </c>
      <c r="L83" s="91">
        <v>3.8E-3</v>
      </c>
      <c r="M83" s="91">
        <v>7.1000000000000004E-3</v>
      </c>
      <c r="N83" s="91">
        <v>-7.9000000000000008E-3</v>
      </c>
      <c r="O83" s="91">
        <v>8.3000000000000001E-3</v>
      </c>
      <c r="P83" s="91">
        <v>9.1000000000000004E-3</v>
      </c>
    </row>
    <row r="84" spans="1:16" hidden="1" x14ac:dyDescent="0.3">
      <c r="A84" s="89" t="s">
        <v>68</v>
      </c>
      <c r="B84" s="89" t="s">
        <v>103</v>
      </c>
      <c r="C84" s="92" t="s">
        <v>27</v>
      </c>
      <c r="D84" s="93">
        <v>3</v>
      </c>
      <c r="E84" s="94">
        <v>1.2442</v>
      </c>
      <c r="F84" s="114">
        <v>0.65200000000000002</v>
      </c>
      <c r="G84" s="106">
        <v>7.6800000000000002E-3</v>
      </c>
      <c r="H84" s="106">
        <v>7.6800000000000002E-3</v>
      </c>
      <c r="I84" s="107">
        <v>45</v>
      </c>
      <c r="J84" s="91">
        <v>4.2200000000000001E-2</v>
      </c>
      <c r="K84" s="91">
        <v>-4.2200000000000001E-2</v>
      </c>
      <c r="L84" s="91">
        <v>3.2000000000000002E-3</v>
      </c>
      <c r="M84" s="91">
        <v>7.0000000000000001E-3</v>
      </c>
      <c r="N84" s="91">
        <v>-3.8E-3</v>
      </c>
      <c r="O84" s="91">
        <v>8.9999999999999993E-3</v>
      </c>
      <c r="P84" s="91">
        <v>9.5999999999999992E-3</v>
      </c>
    </row>
    <row r="85" spans="1:16" hidden="1" x14ac:dyDescent="0.3">
      <c r="A85" s="89" t="s">
        <v>68</v>
      </c>
      <c r="B85" s="89" t="s">
        <v>103</v>
      </c>
      <c r="C85" s="92" t="s">
        <v>27</v>
      </c>
      <c r="D85" s="93">
        <v>4</v>
      </c>
      <c r="E85" s="94">
        <v>1.2437</v>
      </c>
      <c r="F85" s="114">
        <v>0.65820000000000001</v>
      </c>
      <c r="G85" s="106">
        <v>7.8530000000000006E-3</v>
      </c>
      <c r="H85" s="106">
        <v>7.8530000000000006E-3</v>
      </c>
      <c r="I85" s="107">
        <v>45</v>
      </c>
      <c r="J85" s="91">
        <v>4.2200000000000001E-2</v>
      </c>
      <c r="K85" s="91">
        <v>-4.2200000000000001E-2</v>
      </c>
      <c r="L85" s="91">
        <v>2.7000000000000001E-3</v>
      </c>
      <c r="M85" s="91">
        <v>4.0000000000000001E-3</v>
      </c>
      <c r="N85" s="91">
        <v>-1.4E-3</v>
      </c>
      <c r="O85" s="91">
        <v>8.3999999999999995E-3</v>
      </c>
      <c r="P85" s="91">
        <v>8.8999999999999999E-3</v>
      </c>
    </row>
    <row r="86" spans="1:16" hidden="1" x14ac:dyDescent="0.3">
      <c r="A86" s="89" t="s">
        <v>68</v>
      </c>
      <c r="B86" s="89" t="s">
        <v>103</v>
      </c>
      <c r="C86" s="92" t="s">
        <v>27</v>
      </c>
      <c r="D86" s="93">
        <v>5</v>
      </c>
      <c r="E86" s="94">
        <v>1.2427999999999999</v>
      </c>
      <c r="F86" s="114">
        <v>0.65480000000000005</v>
      </c>
      <c r="G86" s="106">
        <v>7.6210000000000002E-3</v>
      </c>
      <c r="H86" s="106">
        <v>7.6210000000000002E-3</v>
      </c>
      <c r="I86" s="107">
        <v>45</v>
      </c>
      <c r="J86" s="91">
        <v>4.2200000000000001E-2</v>
      </c>
      <c r="K86" s="91">
        <v>-4.2200000000000001E-2</v>
      </c>
      <c r="L86" s="91">
        <v>2.2000000000000001E-3</v>
      </c>
      <c r="M86" s="91">
        <v>4.7000000000000002E-3</v>
      </c>
      <c r="N86" s="91">
        <v>-2E-3</v>
      </c>
      <c r="O86" s="91">
        <v>8.0000000000000002E-3</v>
      </c>
      <c r="P86" s="91">
        <v>8.3000000000000001E-3</v>
      </c>
    </row>
    <row r="87" spans="1:16" hidden="1" x14ac:dyDescent="0.3">
      <c r="A87" s="89" t="s">
        <v>68</v>
      </c>
      <c r="B87" s="89" t="s">
        <v>103</v>
      </c>
      <c r="C87" s="92" t="s">
        <v>27</v>
      </c>
      <c r="D87" s="93">
        <v>6</v>
      </c>
      <c r="E87" s="94">
        <v>1.2214</v>
      </c>
      <c r="F87" s="114">
        <v>0.64580000000000004</v>
      </c>
      <c r="G87" s="106">
        <v>8.5199999999999998E-3</v>
      </c>
      <c r="H87" s="106">
        <v>8.5199999999999998E-3</v>
      </c>
      <c r="I87" s="107">
        <v>45</v>
      </c>
      <c r="J87" s="91">
        <v>4.2200000000000001E-2</v>
      </c>
      <c r="K87" s="91">
        <v>-4.2200000000000001E-2</v>
      </c>
      <c r="L87" s="91">
        <v>1.5E-3</v>
      </c>
      <c r="M87" s="91">
        <v>3.0999999999999999E-3</v>
      </c>
      <c r="N87" s="91">
        <v>-2E-3</v>
      </c>
      <c r="O87" s="91">
        <v>5.4000000000000003E-3</v>
      </c>
      <c r="P87" s="91">
        <v>5.7000000000000002E-3</v>
      </c>
    </row>
    <row r="88" spans="1:16" hidden="1" x14ac:dyDescent="0.3">
      <c r="A88" s="89" t="s">
        <v>68</v>
      </c>
      <c r="B88" s="89" t="s">
        <v>103</v>
      </c>
      <c r="C88" s="92" t="s">
        <v>27</v>
      </c>
      <c r="D88" s="93">
        <v>7</v>
      </c>
      <c r="E88" s="94">
        <v>1.1814</v>
      </c>
      <c r="F88" s="114">
        <v>0.64610000000000001</v>
      </c>
      <c r="G88" s="106">
        <v>8.2100000000000003E-3</v>
      </c>
      <c r="H88" s="106">
        <v>8.2100000000000003E-3</v>
      </c>
      <c r="I88" s="107">
        <v>45</v>
      </c>
      <c r="J88" s="91">
        <v>4.2200000000000001E-2</v>
      </c>
      <c r="K88" s="91">
        <v>-4.2200000000000001E-2</v>
      </c>
      <c r="L88" s="91">
        <v>2.5000000000000001E-3</v>
      </c>
      <c r="M88" s="91">
        <v>5.5999999999999999E-3</v>
      </c>
      <c r="N88" s="91">
        <v>-2.7000000000000001E-3</v>
      </c>
      <c r="O88" s="91">
        <v>1.0200000000000001E-2</v>
      </c>
      <c r="P88" s="91">
        <v>1.0500000000000001E-2</v>
      </c>
    </row>
    <row r="89" spans="1:16" hidden="1" x14ac:dyDescent="0.3">
      <c r="A89" s="89" t="s">
        <v>68</v>
      </c>
      <c r="B89" s="89" t="s">
        <v>103</v>
      </c>
      <c r="C89" s="92" t="s">
        <v>27</v>
      </c>
      <c r="D89" s="93">
        <v>8</v>
      </c>
      <c r="E89" s="94">
        <v>1.2479</v>
      </c>
      <c r="F89" s="114">
        <v>0.66239999999999999</v>
      </c>
      <c r="G89" s="106">
        <v>8.8660000000000006E-3</v>
      </c>
      <c r="H89" s="106">
        <v>8.8660000000000006E-3</v>
      </c>
      <c r="I89" s="107">
        <v>45</v>
      </c>
      <c r="J89" s="91">
        <v>4.2200000000000001E-2</v>
      </c>
      <c r="K89" s="91">
        <v>-4.2200000000000001E-2</v>
      </c>
      <c r="L89" s="91">
        <v>2.0999999999999999E-3</v>
      </c>
      <c r="M89" s="91">
        <v>3.8999999999999998E-3</v>
      </c>
      <c r="N89" s="91">
        <v>-3.2000000000000002E-3</v>
      </c>
      <c r="O89" s="91">
        <v>8.8999999999999999E-3</v>
      </c>
      <c r="P89" s="91">
        <v>9.1999999999999998E-3</v>
      </c>
    </row>
    <row r="90" spans="1:16" hidden="1" x14ac:dyDescent="0.3">
      <c r="A90" s="89" t="s">
        <v>68</v>
      </c>
      <c r="B90" s="89" t="s">
        <v>103</v>
      </c>
      <c r="C90" s="92" t="s">
        <v>27</v>
      </c>
      <c r="D90" s="93">
        <v>9</v>
      </c>
      <c r="E90" s="94">
        <v>1.2559</v>
      </c>
      <c r="F90" s="114">
        <v>0.65720000000000001</v>
      </c>
      <c r="G90" s="106">
        <v>8.8940000000000009E-3</v>
      </c>
      <c r="H90" s="106">
        <v>8.8940000000000009E-3</v>
      </c>
      <c r="I90" s="107">
        <v>45</v>
      </c>
      <c r="J90" s="91">
        <v>4.2200000000000001E-2</v>
      </c>
      <c r="K90" s="91">
        <v>-4.2200000000000001E-2</v>
      </c>
      <c r="L90" s="91">
        <v>1E-3</v>
      </c>
      <c r="M90" s="91">
        <v>4.1000000000000003E-3</v>
      </c>
      <c r="N90" s="91">
        <v>-2.7000000000000001E-3</v>
      </c>
      <c r="O90" s="91">
        <v>6.8999999999999999E-3</v>
      </c>
      <c r="P90" s="91">
        <v>7.0000000000000001E-3</v>
      </c>
    </row>
    <row r="91" spans="1:16" hidden="1" x14ac:dyDescent="0.3">
      <c r="A91" s="89" t="s">
        <v>68</v>
      </c>
      <c r="B91" s="89" t="s">
        <v>103</v>
      </c>
      <c r="C91" s="92" t="s">
        <v>27</v>
      </c>
      <c r="D91" s="93">
        <v>10</v>
      </c>
      <c r="E91" s="94">
        <v>1.2093</v>
      </c>
      <c r="F91" s="114">
        <v>0.6643</v>
      </c>
      <c r="G91" s="106">
        <v>7.809E-3</v>
      </c>
      <c r="H91" s="106">
        <v>7.809E-3</v>
      </c>
      <c r="I91" s="107">
        <v>45</v>
      </c>
      <c r="J91" s="91">
        <v>4.2200000000000001E-2</v>
      </c>
      <c r="K91" s="91">
        <v>-4.2200000000000001E-2</v>
      </c>
      <c r="L91" s="91">
        <v>5.0000000000000001E-4</v>
      </c>
      <c r="M91" s="91">
        <v>3.3E-3</v>
      </c>
      <c r="N91" s="91">
        <v>-2.8E-3</v>
      </c>
      <c r="O91" s="91">
        <v>7.0000000000000001E-3</v>
      </c>
      <c r="P91" s="91">
        <v>7.0000000000000001E-3</v>
      </c>
    </row>
    <row r="92" spans="1:16" x14ac:dyDescent="0.3">
      <c r="A92" s="89" t="s">
        <v>74</v>
      </c>
      <c r="B92" s="89" t="s">
        <v>114</v>
      </c>
      <c r="C92" s="92" t="s">
        <v>111</v>
      </c>
      <c r="D92" s="93">
        <v>1</v>
      </c>
      <c r="E92" s="94">
        <v>2.2599999999999999E-2</v>
      </c>
      <c r="F92" s="106">
        <v>1.21E-2</v>
      </c>
      <c r="G92" s="108">
        <v>1.20006E-4</v>
      </c>
      <c r="H92" s="111">
        <v>6.7999999999999999E-5</v>
      </c>
      <c r="I92" s="107" t="s">
        <v>106</v>
      </c>
      <c r="J92" s="91" t="s">
        <v>106</v>
      </c>
      <c r="K92" s="91" t="s">
        <v>106</v>
      </c>
      <c r="L92" s="91" t="s">
        <v>106</v>
      </c>
      <c r="M92" s="91" t="s">
        <v>106</v>
      </c>
      <c r="N92" s="91" t="s">
        <v>106</v>
      </c>
      <c r="O92" s="91" t="s">
        <v>106</v>
      </c>
      <c r="P92" s="91" t="s">
        <v>106</v>
      </c>
    </row>
    <row r="93" spans="1:16" x14ac:dyDescent="0.3">
      <c r="A93" s="89" t="s">
        <v>74</v>
      </c>
      <c r="B93" s="89" t="s">
        <v>114</v>
      </c>
      <c r="C93" s="92" t="s">
        <v>111</v>
      </c>
      <c r="D93" s="93">
        <v>2</v>
      </c>
      <c r="E93" s="94">
        <v>1.9900000000000001E-2</v>
      </c>
      <c r="F93" s="106">
        <v>1.1599999999999999E-2</v>
      </c>
      <c r="G93" s="108">
        <v>1.13989E-4</v>
      </c>
      <c r="H93" s="111">
        <v>6.7000000000000002E-5</v>
      </c>
      <c r="I93" s="107">
        <v>45</v>
      </c>
      <c r="J93" s="91">
        <v>5.0000000000000001E-3</v>
      </c>
      <c r="K93" s="91">
        <v>-5.0000000000000001E-3</v>
      </c>
      <c r="L93" s="91">
        <v>-1E-4</v>
      </c>
      <c r="M93" s="91">
        <v>5.0000000000000001E-4</v>
      </c>
      <c r="N93" s="91">
        <v>-5.9999999999999995E-4</v>
      </c>
      <c r="O93" s="91">
        <v>1E-3</v>
      </c>
      <c r="P93" s="91">
        <v>1E-3</v>
      </c>
    </row>
    <row r="94" spans="1:16" x14ac:dyDescent="0.3">
      <c r="A94" s="89" t="s">
        <v>74</v>
      </c>
      <c r="B94" s="89" t="s">
        <v>114</v>
      </c>
      <c r="C94" s="92" t="s">
        <v>111</v>
      </c>
      <c r="D94" s="93">
        <v>3</v>
      </c>
      <c r="E94" s="94">
        <v>2.1499999999999998E-2</v>
      </c>
      <c r="F94" s="106">
        <v>1.2E-2</v>
      </c>
      <c r="G94" s="108">
        <v>1.11513E-4</v>
      </c>
      <c r="H94" s="111">
        <v>6.4999999999999994E-5</v>
      </c>
      <c r="I94" s="107">
        <v>45</v>
      </c>
      <c r="J94" s="91">
        <v>5.0000000000000001E-3</v>
      </c>
      <c r="K94" s="91">
        <v>-5.0000000000000001E-3</v>
      </c>
      <c r="L94" s="91">
        <v>-2.0000000000000001E-4</v>
      </c>
      <c r="M94" s="91">
        <v>6.9999999999999999E-4</v>
      </c>
      <c r="N94" s="91">
        <v>-5.9999999999999995E-4</v>
      </c>
      <c r="O94" s="91">
        <v>8.9999999999999998E-4</v>
      </c>
      <c r="P94" s="91">
        <v>1E-3</v>
      </c>
    </row>
    <row r="95" spans="1:16" x14ac:dyDescent="0.3">
      <c r="A95" s="89" t="s">
        <v>74</v>
      </c>
      <c r="B95" s="89" t="s">
        <v>114</v>
      </c>
      <c r="C95" s="92" t="s">
        <v>111</v>
      </c>
      <c r="D95" s="93">
        <v>4</v>
      </c>
      <c r="E95" s="94">
        <v>1.9800000000000002E-2</v>
      </c>
      <c r="F95" s="106">
        <v>1.17E-2</v>
      </c>
      <c r="G95" s="108">
        <v>1.01708E-4</v>
      </c>
      <c r="H95" s="111">
        <v>6.7999999999999999E-5</v>
      </c>
      <c r="I95" s="107">
        <v>45</v>
      </c>
      <c r="J95" s="91">
        <v>4.8999999999999998E-3</v>
      </c>
      <c r="K95" s="91">
        <v>-5.0000000000000001E-3</v>
      </c>
      <c r="L95" s="91">
        <v>-1E-4</v>
      </c>
      <c r="M95" s="91">
        <v>4.0000000000000002E-4</v>
      </c>
      <c r="N95" s="91">
        <v>-5.0000000000000001E-4</v>
      </c>
      <c r="O95" s="91">
        <v>8.0000000000000004E-4</v>
      </c>
      <c r="P95" s="91">
        <v>8.0000000000000004E-4</v>
      </c>
    </row>
    <row r="96" spans="1:16" x14ac:dyDescent="0.3">
      <c r="A96" s="89" t="s">
        <v>74</v>
      </c>
      <c r="B96" s="89" t="s">
        <v>114</v>
      </c>
      <c r="C96" s="92" t="s">
        <v>111</v>
      </c>
      <c r="D96" s="93">
        <v>5</v>
      </c>
      <c r="E96" s="94">
        <v>1.9900000000000001E-2</v>
      </c>
      <c r="F96" s="106">
        <v>1.1599999999999999E-2</v>
      </c>
      <c r="G96" s="108">
        <v>1.20827E-4</v>
      </c>
      <c r="H96" s="111">
        <v>6.8999999999999997E-5</v>
      </c>
      <c r="I96" s="107">
        <v>45</v>
      </c>
      <c r="J96" s="91">
        <v>5.0000000000000001E-3</v>
      </c>
      <c r="K96" s="91">
        <v>-5.0000000000000001E-3</v>
      </c>
      <c r="L96" s="91">
        <v>0</v>
      </c>
      <c r="M96" s="91">
        <v>5.0000000000000001E-4</v>
      </c>
      <c r="N96" s="91">
        <v>-8.9999999999999998E-4</v>
      </c>
      <c r="O96" s="91">
        <v>1.1000000000000001E-3</v>
      </c>
      <c r="P96" s="91">
        <v>1.1000000000000001E-3</v>
      </c>
    </row>
    <row r="97" spans="1:16" x14ac:dyDescent="0.3">
      <c r="A97" s="89" t="s">
        <v>74</v>
      </c>
      <c r="B97" s="89" t="s">
        <v>114</v>
      </c>
      <c r="C97" s="92" t="s">
        <v>111</v>
      </c>
      <c r="D97" s="93">
        <v>6</v>
      </c>
      <c r="E97" s="94">
        <v>2.1499999999999998E-2</v>
      </c>
      <c r="F97" s="106">
        <v>1.2E-2</v>
      </c>
      <c r="G97" s="108">
        <v>1.0681899999999999E-4</v>
      </c>
      <c r="H97" s="111">
        <v>6.3E-5</v>
      </c>
      <c r="I97" s="107">
        <v>45</v>
      </c>
      <c r="J97" s="91">
        <v>4.8999999999999998E-3</v>
      </c>
      <c r="K97" s="91">
        <v>-5.0000000000000001E-3</v>
      </c>
      <c r="L97" s="91">
        <v>-2.9999999999999997E-4</v>
      </c>
      <c r="M97" s="91">
        <v>6.9999999999999999E-4</v>
      </c>
      <c r="N97" s="91">
        <v>-8.9999999999999998E-4</v>
      </c>
      <c r="O97" s="91">
        <v>1E-3</v>
      </c>
      <c r="P97" s="91">
        <v>1E-3</v>
      </c>
    </row>
    <row r="98" spans="1:16" x14ac:dyDescent="0.3">
      <c r="A98" s="89" t="s">
        <v>74</v>
      </c>
      <c r="B98" s="89" t="s">
        <v>114</v>
      </c>
      <c r="C98" s="92" t="s">
        <v>111</v>
      </c>
      <c r="D98" s="93">
        <v>7</v>
      </c>
      <c r="E98" s="94">
        <v>2.1499999999999998E-2</v>
      </c>
      <c r="F98" s="106">
        <v>1.21E-2</v>
      </c>
      <c r="G98" s="108">
        <v>1.0683099999999999E-4</v>
      </c>
      <c r="H98" s="111">
        <v>6.0000000000000002E-5</v>
      </c>
      <c r="I98" s="107">
        <v>45</v>
      </c>
      <c r="J98" s="91">
        <v>5.0000000000000001E-3</v>
      </c>
      <c r="K98" s="91">
        <v>-5.0000000000000001E-3</v>
      </c>
      <c r="L98" s="91">
        <v>-2.0000000000000001E-4</v>
      </c>
      <c r="M98" s="106">
        <v>8.9999999999999998E-4</v>
      </c>
      <c r="N98" s="106">
        <v>-1E-3</v>
      </c>
      <c r="O98" s="106">
        <v>1.1999999999999999E-3</v>
      </c>
      <c r="P98" s="106">
        <v>1.1999999999999999E-3</v>
      </c>
    </row>
    <row r="99" spans="1:16" x14ac:dyDescent="0.3">
      <c r="A99" s="89" t="s">
        <v>74</v>
      </c>
      <c r="B99" s="89" t="s">
        <v>114</v>
      </c>
      <c r="C99" s="92" t="s">
        <v>111</v>
      </c>
      <c r="D99" s="93">
        <v>8</v>
      </c>
      <c r="E99" s="94">
        <v>2.5899999999999999E-2</v>
      </c>
      <c r="F99" s="106">
        <v>1.1900000000000001E-2</v>
      </c>
      <c r="G99" s="108">
        <v>9.4287299999999994E-5</v>
      </c>
      <c r="H99" s="111">
        <v>6.4999999999999994E-5</v>
      </c>
      <c r="I99" s="107">
        <v>45</v>
      </c>
      <c r="J99" s="91">
        <v>5.0000000000000001E-3</v>
      </c>
      <c r="K99" s="91">
        <v>-5.0000000000000001E-3</v>
      </c>
      <c r="L99" s="91">
        <v>-1E-4</v>
      </c>
      <c r="M99" s="91">
        <v>1E-3</v>
      </c>
      <c r="N99" s="91">
        <v>-1E-3</v>
      </c>
      <c r="O99" s="91">
        <v>1.2999999999999999E-3</v>
      </c>
      <c r="P99" s="91">
        <v>1.2999999999999999E-3</v>
      </c>
    </row>
    <row r="100" spans="1:16" x14ac:dyDescent="0.3">
      <c r="A100" s="89" t="s">
        <v>74</v>
      </c>
      <c r="B100" s="89" t="s">
        <v>114</v>
      </c>
      <c r="C100" s="92" t="s">
        <v>111</v>
      </c>
      <c r="D100" s="93">
        <v>9</v>
      </c>
      <c r="E100" s="94">
        <v>2.1899999999999999E-2</v>
      </c>
      <c r="F100" s="106">
        <v>1.2E-2</v>
      </c>
      <c r="G100" s="108">
        <v>1.15732E-4</v>
      </c>
      <c r="H100" s="111">
        <v>6.6000000000000005E-5</v>
      </c>
      <c r="I100" s="107">
        <v>45</v>
      </c>
      <c r="J100" s="91">
        <v>5.0000000000000001E-3</v>
      </c>
      <c r="K100" s="91">
        <v>-5.0000000000000001E-3</v>
      </c>
      <c r="L100" s="91">
        <v>-1E-4</v>
      </c>
      <c r="M100" s="91">
        <v>6.9999999999999999E-4</v>
      </c>
      <c r="N100" s="91">
        <v>-6.9999999999999999E-4</v>
      </c>
      <c r="O100" s="91">
        <v>1E-3</v>
      </c>
      <c r="P100" s="91">
        <v>1E-3</v>
      </c>
    </row>
    <row r="101" spans="1:16" x14ac:dyDescent="0.3">
      <c r="A101" s="89" t="s">
        <v>74</v>
      </c>
      <c r="B101" s="89" t="s">
        <v>114</v>
      </c>
      <c r="C101" s="92" t="s">
        <v>111</v>
      </c>
      <c r="D101" s="93">
        <v>10</v>
      </c>
      <c r="E101" s="94">
        <v>1.9699999999999999E-2</v>
      </c>
      <c r="F101" s="106">
        <v>1.17E-2</v>
      </c>
      <c r="G101" s="108">
        <v>1.17124E-4</v>
      </c>
      <c r="H101" s="111">
        <v>6.8999999999999997E-5</v>
      </c>
      <c r="I101" s="107">
        <v>45</v>
      </c>
      <c r="J101" s="91">
        <v>5.0000000000000001E-3</v>
      </c>
      <c r="K101" s="91">
        <v>-5.0000000000000001E-3</v>
      </c>
      <c r="L101" s="91">
        <v>0</v>
      </c>
      <c r="M101" s="91">
        <v>5.0000000000000001E-4</v>
      </c>
      <c r="N101" s="91">
        <v>-6.9999999999999999E-4</v>
      </c>
      <c r="O101" s="91">
        <v>1.1000000000000001E-3</v>
      </c>
      <c r="P101" s="91">
        <v>1.1000000000000001E-3</v>
      </c>
    </row>
    <row r="102" spans="1:16" x14ac:dyDescent="0.3">
      <c r="A102" s="89"/>
      <c r="B102" s="89"/>
      <c r="C102" s="92"/>
      <c r="D102" s="89"/>
      <c r="E102" s="94"/>
      <c r="F102" s="94"/>
      <c r="G102" s="107"/>
      <c r="H102" s="91"/>
      <c r="I102" s="91"/>
      <c r="J102" s="91"/>
      <c r="K102" s="91"/>
      <c r="L102" s="91"/>
      <c r="M102" s="91"/>
      <c r="N102" s="91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170C-AA98-4775-9D69-0F22586409B7}">
  <dimension ref="A1:AB61"/>
  <sheetViews>
    <sheetView zoomScale="86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4" sqref="A14"/>
    </sheetView>
  </sheetViews>
  <sheetFormatPr defaultRowHeight="14.4" x14ac:dyDescent="0.3"/>
  <cols>
    <col min="1" max="1" width="19.109375" bestFit="1" customWidth="1"/>
    <col min="2" max="2" width="15.44140625" bestFit="1" customWidth="1"/>
    <col min="3" max="3" width="13.109375" bestFit="1" customWidth="1"/>
    <col min="4" max="4" width="16.44140625" bestFit="1" customWidth="1"/>
    <col min="5" max="5" width="10.44140625" bestFit="1" customWidth="1"/>
    <col min="6" max="6" width="13.6640625" bestFit="1" customWidth="1"/>
    <col min="7" max="8" width="20.6640625" bestFit="1" customWidth="1"/>
    <col min="9" max="9" width="10" bestFit="1" customWidth="1"/>
    <col min="10" max="10" width="10.109375" bestFit="1" customWidth="1"/>
    <col min="11" max="11" width="10.6640625" customWidth="1"/>
    <col min="12" max="12" width="9.33203125" bestFit="1" customWidth="1"/>
    <col min="13" max="13" width="10.5546875" bestFit="1" customWidth="1"/>
    <col min="14" max="14" width="9.33203125" bestFit="1" customWidth="1"/>
    <col min="15" max="15" width="29.5546875" bestFit="1" customWidth="1"/>
    <col min="16" max="16" width="12.5546875" style="97" bestFit="1" customWidth="1"/>
    <col min="17" max="17" width="29.5546875" style="97" bestFit="1" customWidth="1"/>
    <col min="18" max="19" width="16.5546875" style="97" bestFit="1" customWidth="1"/>
    <col min="20" max="20" width="12.77734375" style="97" bestFit="1" customWidth="1"/>
    <col min="21" max="21" width="17.6640625" style="97" bestFit="1" customWidth="1"/>
    <col min="22" max="22" width="17.6640625" bestFit="1" customWidth="1"/>
    <col min="23" max="23" width="13.88671875" bestFit="1" customWidth="1"/>
    <col min="24" max="24" width="17.6640625" bestFit="1" customWidth="1"/>
    <col min="25" max="25" width="13.88671875" bestFit="1" customWidth="1"/>
    <col min="26" max="26" width="9.6640625" bestFit="1" customWidth="1"/>
    <col min="27" max="27" width="102" bestFit="1" customWidth="1"/>
  </cols>
  <sheetData>
    <row r="1" spans="1:28" x14ac:dyDescent="0.3">
      <c r="A1" s="95" t="s">
        <v>0</v>
      </c>
      <c r="B1" s="95" t="s">
        <v>1</v>
      </c>
      <c r="C1" s="95" t="s">
        <v>2</v>
      </c>
      <c r="D1" s="95" t="s">
        <v>80</v>
      </c>
      <c r="E1" s="95" t="s">
        <v>3</v>
      </c>
      <c r="F1" s="95" t="s">
        <v>82</v>
      </c>
      <c r="G1" s="95" t="s">
        <v>4</v>
      </c>
      <c r="H1" s="95" t="s">
        <v>81</v>
      </c>
      <c r="I1" s="95" t="s">
        <v>6</v>
      </c>
      <c r="J1" s="95" t="s">
        <v>7</v>
      </c>
      <c r="K1" s="95" t="s">
        <v>8</v>
      </c>
      <c r="L1" s="95" t="s">
        <v>9</v>
      </c>
      <c r="M1" s="95" t="s">
        <v>10</v>
      </c>
      <c r="N1" s="95" t="s">
        <v>11</v>
      </c>
      <c r="O1" s="95" t="s">
        <v>12</v>
      </c>
      <c r="P1" s="95" t="s">
        <v>13</v>
      </c>
      <c r="Q1" s="95" t="s">
        <v>14</v>
      </c>
      <c r="R1" s="95" t="s">
        <v>94</v>
      </c>
      <c r="S1" s="95" t="s">
        <v>15</v>
      </c>
      <c r="T1" s="96" t="s">
        <v>16</v>
      </c>
      <c r="U1" s="96" t="s">
        <v>93</v>
      </c>
      <c r="V1" s="98" t="s">
        <v>87</v>
      </c>
      <c r="W1" s="98" t="s">
        <v>88</v>
      </c>
      <c r="X1" s="101" t="s">
        <v>91</v>
      </c>
      <c r="Y1" s="98" t="s">
        <v>89</v>
      </c>
      <c r="Z1" s="98" t="s">
        <v>90</v>
      </c>
      <c r="AA1" s="98" t="s">
        <v>92</v>
      </c>
      <c r="AB1" s="100" t="s">
        <v>77</v>
      </c>
    </row>
    <row r="2" spans="1:28" x14ac:dyDescent="0.3">
      <c r="A2" s="89" t="s">
        <v>17</v>
      </c>
      <c r="B2" s="89" t="s">
        <v>18</v>
      </c>
      <c r="C2" s="89" t="s">
        <v>19</v>
      </c>
      <c r="D2" s="99">
        <v>1</v>
      </c>
      <c r="E2" s="90" t="s">
        <v>20</v>
      </c>
      <c r="F2" s="90" t="s">
        <v>83</v>
      </c>
      <c r="G2" s="89" t="s">
        <v>21</v>
      </c>
      <c r="H2" s="89">
        <v>1</v>
      </c>
      <c r="I2" s="91">
        <v>1</v>
      </c>
      <c r="J2" s="91">
        <v>0.1</v>
      </c>
      <c r="K2" s="91">
        <v>-0.1</v>
      </c>
      <c r="L2" s="91">
        <v>6.3E-3</v>
      </c>
      <c r="M2" s="91">
        <v>6.0900000000000003E-2</v>
      </c>
      <c r="N2" s="91">
        <v>-6.2100000000000002E-2</v>
      </c>
      <c r="O2" s="91">
        <v>6.4899999999999999E-2</v>
      </c>
      <c r="P2" s="91">
        <v>6.5299999999999997E-2</v>
      </c>
      <c r="Q2" s="92" t="s">
        <v>23</v>
      </c>
      <c r="R2" s="89" t="s">
        <v>22</v>
      </c>
      <c r="S2" s="89">
        <v>10</v>
      </c>
      <c r="T2" s="92">
        <v>11</v>
      </c>
      <c r="U2" s="102">
        <v>11</v>
      </c>
      <c r="V2" s="97">
        <v>0.39185399999999998</v>
      </c>
      <c r="W2" s="97">
        <v>0.331652</v>
      </c>
      <c r="X2" s="97">
        <f>(Table1[[#This Row],[V_2023]]-Table1[[#This Row],[V_2022]])/Table1[[#This Row],[V_2022]]</f>
        <v>-0.15363375134616458</v>
      </c>
      <c r="Y2" s="97">
        <v>4.9736000000000002</v>
      </c>
      <c r="Z2" s="97">
        <v>6.4142999999999999</v>
      </c>
      <c r="AA2" s="97">
        <f>(Table1[[#This Row],[SA_2023]]-Table1[[#This Row],[SA_2022]])/Table1[[#This Row],[SA_2022]]</f>
        <v>0.28966945472092642</v>
      </c>
      <c r="AB2" t="s">
        <v>24</v>
      </c>
    </row>
    <row r="3" spans="1:28" x14ac:dyDescent="0.3">
      <c r="A3" s="89" t="s">
        <v>25</v>
      </c>
      <c r="B3" s="89" t="s">
        <v>18</v>
      </c>
      <c r="C3" s="89" t="s">
        <v>19</v>
      </c>
      <c r="D3" s="99">
        <v>1</v>
      </c>
      <c r="E3" s="90" t="s">
        <v>20</v>
      </c>
      <c r="F3" s="90" t="s">
        <v>83</v>
      </c>
      <c r="G3" s="89" t="s">
        <v>21</v>
      </c>
      <c r="H3" s="89">
        <v>2</v>
      </c>
      <c r="I3" s="91">
        <v>1</v>
      </c>
      <c r="J3" s="91">
        <v>0.1</v>
      </c>
      <c r="K3" s="91">
        <v>0.1</v>
      </c>
      <c r="L3" s="91">
        <v>2.9100000000000001E-2</v>
      </c>
      <c r="M3" s="91">
        <v>5.5300000000000002E-2</v>
      </c>
      <c r="N3" s="91">
        <v>-0.06</v>
      </c>
      <c r="O3" s="91">
        <v>5.2999999999999999E-2</v>
      </c>
      <c r="P3" s="91">
        <v>6.0499999999999998E-2</v>
      </c>
      <c r="Q3" s="92" t="s">
        <v>27</v>
      </c>
      <c r="R3" s="89" t="s">
        <v>26</v>
      </c>
      <c r="S3" s="89">
        <v>8</v>
      </c>
      <c r="T3" s="92">
        <v>9</v>
      </c>
      <c r="U3" s="102">
        <v>9</v>
      </c>
      <c r="V3" s="97">
        <v>9.2146000000000006E-2</v>
      </c>
      <c r="W3" s="97">
        <v>0.201658</v>
      </c>
      <c r="X3" s="97">
        <f>(Table1[[#This Row],[V_2023]]-Table1[[#This Row],[V_2022]])/Table1[[#This Row],[V_2022]]</f>
        <v>1.1884617889002234</v>
      </c>
      <c r="Y3" s="97">
        <v>4.4158999999999997</v>
      </c>
      <c r="Z3" s="97">
        <v>4.7117000000000004</v>
      </c>
      <c r="AA3" s="97">
        <f>(Table1[[#This Row],[SA_2023]]-Table1[[#This Row],[SA_2022]])/Table1[[#This Row],[SA_2022]]</f>
        <v>6.698521252745776E-2</v>
      </c>
    </row>
    <row r="4" spans="1:28" x14ac:dyDescent="0.3">
      <c r="A4" s="89" t="s">
        <v>28</v>
      </c>
      <c r="B4" s="89" t="s">
        <v>18</v>
      </c>
      <c r="C4" s="89" t="s">
        <v>19</v>
      </c>
      <c r="D4" s="99">
        <v>1</v>
      </c>
      <c r="E4" s="90" t="s">
        <v>20</v>
      </c>
      <c r="F4" s="90" t="s">
        <v>83</v>
      </c>
      <c r="G4" s="89" t="s">
        <v>21</v>
      </c>
      <c r="H4" s="89">
        <v>3</v>
      </c>
      <c r="I4" s="91">
        <v>1</v>
      </c>
      <c r="J4" s="91">
        <v>0.1</v>
      </c>
      <c r="K4" s="91">
        <v>-0.1</v>
      </c>
      <c r="L4" s="91">
        <v>-4.8999999999999998E-3</v>
      </c>
      <c r="M4" s="91">
        <v>3.9600000000000003E-2</v>
      </c>
      <c r="N4" s="91">
        <v>-4.5699999999999998E-2</v>
      </c>
      <c r="O4" s="91">
        <v>4.8099999999999997E-2</v>
      </c>
      <c r="P4" s="91">
        <v>4.8399999999999999E-2</v>
      </c>
      <c r="Q4" s="92" t="s">
        <v>23</v>
      </c>
      <c r="R4" s="89" t="s">
        <v>22</v>
      </c>
      <c r="S4" s="89">
        <v>48</v>
      </c>
      <c r="T4" s="92">
        <v>63</v>
      </c>
      <c r="U4" s="102">
        <v>64</v>
      </c>
      <c r="V4" s="97">
        <v>8.1719799999999999E-4</v>
      </c>
      <c r="W4" s="97">
        <v>9.3916300000000002E-4</v>
      </c>
      <c r="X4" s="97">
        <f>(Table1[[#This Row],[V_2023]]-Table1[[#This Row],[V_2022]])/Table1[[#This Row],[V_2022]]</f>
        <v>0.14924779551589704</v>
      </c>
      <c r="Y4" s="97">
        <v>6.8199999999999997E-2</v>
      </c>
      <c r="Z4" s="97">
        <v>0.12839999999999999</v>
      </c>
      <c r="AA4" s="97">
        <f>(Table1[[#This Row],[SA_2023]]-Table1[[#This Row],[SA_2022]])/Table1[[#This Row],[SA_2022]]</f>
        <v>0.88269794721407613</v>
      </c>
    </row>
    <row r="5" spans="1:28" x14ac:dyDescent="0.3">
      <c r="A5" s="89" t="s">
        <v>28</v>
      </c>
      <c r="B5" s="89" t="s">
        <v>18</v>
      </c>
      <c r="C5" s="89" t="s">
        <v>19</v>
      </c>
      <c r="D5" s="99">
        <v>1</v>
      </c>
      <c r="E5" s="90" t="s">
        <v>20</v>
      </c>
      <c r="F5" s="90" t="s">
        <v>83</v>
      </c>
      <c r="G5" s="89" t="s">
        <v>21</v>
      </c>
      <c r="H5" s="89">
        <v>4</v>
      </c>
      <c r="I5" s="91">
        <v>45</v>
      </c>
      <c r="J5" s="91">
        <v>9.2999999999999999E-2</v>
      </c>
      <c r="K5" s="91">
        <v>-9.2999999999999999E-2</v>
      </c>
      <c r="L5" s="91">
        <v>7.6E-3</v>
      </c>
      <c r="M5" s="91">
        <v>4.2700000000000002E-2</v>
      </c>
      <c r="N5" s="91">
        <v>-3.9699999999999999E-2</v>
      </c>
      <c r="O5" s="91">
        <v>4.7500000000000001E-2</v>
      </c>
      <c r="P5" s="91">
        <v>4.8099999999999997E-2</v>
      </c>
      <c r="Q5" s="92" t="s">
        <v>23</v>
      </c>
      <c r="R5" s="89" t="s">
        <v>22</v>
      </c>
      <c r="S5" s="89">
        <v>37</v>
      </c>
      <c r="T5" s="92">
        <v>52</v>
      </c>
      <c r="U5" s="102">
        <v>54</v>
      </c>
      <c r="V5" s="97">
        <v>0.34823799999999999</v>
      </c>
      <c r="W5" s="97">
        <v>0.38990599999999997</v>
      </c>
      <c r="X5" s="97">
        <f>(Table1[[#This Row],[V_2023]]-Table1[[#This Row],[V_2022]])/Table1[[#This Row],[V_2022]]</f>
        <v>0.11965379998736492</v>
      </c>
      <c r="Y5" s="97">
        <v>4.5903999999999998</v>
      </c>
      <c r="Z5" s="97">
        <v>6.0673000000000004</v>
      </c>
      <c r="AA5" s="97">
        <f>(Table1[[#This Row],[SA_2023]]-Table1[[#This Row],[SA_2022]])/Table1[[#This Row],[SA_2022]]</f>
        <v>0.32173666782851179</v>
      </c>
    </row>
    <row r="6" spans="1:28" x14ac:dyDescent="0.3">
      <c r="A6" s="89" t="s">
        <v>28</v>
      </c>
      <c r="B6" s="89" t="s">
        <v>18</v>
      </c>
      <c r="C6" s="89" t="s">
        <v>19</v>
      </c>
      <c r="D6" s="99">
        <v>1</v>
      </c>
      <c r="E6" s="90" t="s">
        <v>20</v>
      </c>
      <c r="F6" s="90" t="s">
        <v>83</v>
      </c>
      <c r="G6" s="89" t="s">
        <v>21</v>
      </c>
      <c r="H6" s="89">
        <v>5</v>
      </c>
      <c r="I6" s="91">
        <v>1</v>
      </c>
      <c r="J6" s="91">
        <v>0.1</v>
      </c>
      <c r="K6" s="91">
        <v>-0.1</v>
      </c>
      <c r="L6" s="91">
        <v>-7.1999999999999998E-3</v>
      </c>
      <c r="M6" s="91">
        <v>5.5300000000000002E-2</v>
      </c>
      <c r="N6" s="91">
        <v>-5.8999999999999997E-2</v>
      </c>
      <c r="O6" s="91">
        <v>6.08E-2</v>
      </c>
      <c r="P6" s="91">
        <v>6.13E-2</v>
      </c>
      <c r="Q6" s="92" t="s">
        <v>30</v>
      </c>
      <c r="R6" s="89" t="s">
        <v>29</v>
      </c>
      <c r="S6" s="89">
        <v>38</v>
      </c>
      <c r="T6" s="92">
        <v>51</v>
      </c>
      <c r="U6" s="102">
        <v>52</v>
      </c>
      <c r="V6" s="97">
        <v>3.5618999999999998E-2</v>
      </c>
      <c r="W6" s="97">
        <v>3.5904999999999999E-2</v>
      </c>
      <c r="X6" s="97">
        <f>(Table1[[#This Row],[V_2023]]-Table1[[#This Row],[V_2022]])/Table1[[#This Row],[V_2022]]</f>
        <v>8.0294224992279832E-3</v>
      </c>
      <c r="Y6" s="97">
        <v>1.2433000000000001</v>
      </c>
      <c r="Z6" s="97">
        <v>1.0136000000000001</v>
      </c>
      <c r="AA6" s="97">
        <f>(Table1[[#This Row],[SA_2023]]-Table1[[#This Row],[SA_2022]])/Table1[[#This Row],[SA_2022]]</f>
        <v>-0.18475026140110995</v>
      </c>
    </row>
    <row r="7" spans="1:28" x14ac:dyDescent="0.3">
      <c r="A7" s="89" t="s">
        <v>28</v>
      </c>
      <c r="B7" s="89" t="s">
        <v>18</v>
      </c>
      <c r="C7" s="89" t="s">
        <v>19</v>
      </c>
      <c r="D7" s="99">
        <v>1</v>
      </c>
      <c r="E7" s="90" t="s">
        <v>20</v>
      </c>
      <c r="F7" s="90" t="s">
        <v>83</v>
      </c>
      <c r="G7" s="89" t="s">
        <v>21</v>
      </c>
      <c r="H7" s="89">
        <v>6</v>
      </c>
      <c r="I7" s="91">
        <v>1</v>
      </c>
      <c r="J7" s="91">
        <v>0.1</v>
      </c>
      <c r="K7" s="91">
        <v>-0.1</v>
      </c>
      <c r="L7" s="91">
        <v>-7.4000000000000003E-3</v>
      </c>
      <c r="M7" s="91">
        <v>5.79E-2</v>
      </c>
      <c r="N7" s="91">
        <v>-5.8599999999999999E-2</v>
      </c>
      <c r="O7" s="91">
        <v>6.25E-2</v>
      </c>
      <c r="P7" s="91">
        <v>6.2899999999999998E-2</v>
      </c>
      <c r="Q7" s="92" t="s">
        <v>27</v>
      </c>
      <c r="R7" s="89" t="s">
        <v>26</v>
      </c>
      <c r="S7" s="89">
        <v>54</v>
      </c>
      <c r="T7" s="92">
        <v>70</v>
      </c>
      <c r="U7" s="102">
        <v>71</v>
      </c>
      <c r="V7" s="97">
        <v>0.15870100000000001</v>
      </c>
      <c r="W7" s="97">
        <v>7.6329999999999995E-2</v>
      </c>
      <c r="X7" s="97">
        <f>(Table1[[#This Row],[V_2023]]-Table1[[#This Row],[V_2022]])/Table1[[#This Row],[V_2022]]</f>
        <v>-0.51903264629712487</v>
      </c>
      <c r="Y7" s="97">
        <v>3.6688000000000001</v>
      </c>
      <c r="Z7" s="97">
        <v>3.4777</v>
      </c>
      <c r="AA7" s="97">
        <f>(Table1[[#This Row],[SA_2023]]-Table1[[#This Row],[SA_2022]])/Table1[[#This Row],[SA_2022]]</f>
        <v>-5.2087876144788499E-2</v>
      </c>
    </row>
    <row r="8" spans="1:28" x14ac:dyDescent="0.3">
      <c r="A8" s="89" t="s">
        <v>31</v>
      </c>
      <c r="B8" s="89" t="s">
        <v>18</v>
      </c>
      <c r="C8" s="89" t="s">
        <v>19</v>
      </c>
      <c r="D8" s="99">
        <v>2</v>
      </c>
      <c r="E8" s="90" t="s">
        <v>20</v>
      </c>
      <c r="F8" s="90" t="s">
        <v>83</v>
      </c>
      <c r="G8" s="89" t="s">
        <v>32</v>
      </c>
      <c r="H8" s="89">
        <v>7</v>
      </c>
      <c r="I8" s="91">
        <v>45</v>
      </c>
      <c r="J8" s="91">
        <v>0.108</v>
      </c>
      <c r="K8" s="91">
        <v>-0.108</v>
      </c>
      <c r="L8" s="91">
        <v>5.5999999999999999E-3</v>
      </c>
      <c r="M8" s="91">
        <v>3.1099999999999999E-2</v>
      </c>
      <c r="N8" s="91">
        <v>-2.3300000000000001E-2</v>
      </c>
      <c r="O8" s="91">
        <v>3.4299999999999997E-2</v>
      </c>
      <c r="P8" s="91">
        <v>3.4700000000000002E-2</v>
      </c>
      <c r="Q8" s="92" t="s">
        <v>23</v>
      </c>
      <c r="R8" s="89" t="s">
        <v>22</v>
      </c>
      <c r="S8" s="89">
        <v>68</v>
      </c>
      <c r="T8" s="92">
        <v>105</v>
      </c>
      <c r="U8" s="102">
        <v>107</v>
      </c>
      <c r="V8" s="97">
        <v>0.40990900000000002</v>
      </c>
      <c r="W8" s="97">
        <v>0.44393199999999999</v>
      </c>
      <c r="X8" s="97">
        <f>(Table1[[#This Row],[V_2023]]-Table1[[#This Row],[V_2022]])/Table1[[#This Row],[V_2022]]</f>
        <v>8.3001349079917658E-2</v>
      </c>
      <c r="Y8" s="97">
        <v>10.1243</v>
      </c>
      <c r="Z8" s="97">
        <v>8.7466000000000008</v>
      </c>
      <c r="AA8" s="97">
        <f>(Table1[[#This Row],[SA_2023]]-Table1[[#This Row],[SA_2022]])/Table1[[#This Row],[SA_2022]]</f>
        <v>-0.13607854370178671</v>
      </c>
    </row>
    <row r="9" spans="1:28" x14ac:dyDescent="0.3">
      <c r="A9" s="89" t="s">
        <v>31</v>
      </c>
      <c r="B9" s="89" t="s">
        <v>18</v>
      </c>
      <c r="C9" s="89" t="s">
        <v>19</v>
      </c>
      <c r="D9" s="99">
        <v>2</v>
      </c>
      <c r="E9" s="90" t="s">
        <v>20</v>
      </c>
      <c r="F9" s="90" t="s">
        <v>83</v>
      </c>
      <c r="G9" s="89" t="s">
        <v>32</v>
      </c>
      <c r="H9" s="89">
        <v>8</v>
      </c>
      <c r="I9" s="91">
        <v>1</v>
      </c>
      <c r="J9" s="91">
        <v>9.98E-2</v>
      </c>
      <c r="K9" s="91">
        <v>-9.9699999999999997E-2</v>
      </c>
      <c r="L9" s="91">
        <v>2.8E-3</v>
      </c>
      <c r="M9" s="91">
        <v>2.7300000000000001E-2</v>
      </c>
      <c r="N9" s="91">
        <v>-2.81E-2</v>
      </c>
      <c r="O9" s="91">
        <v>3.1899999999999998E-2</v>
      </c>
      <c r="P9" s="91">
        <v>3.2000000000000001E-2</v>
      </c>
      <c r="Q9" s="92" t="s">
        <v>23</v>
      </c>
      <c r="R9" s="89" t="s">
        <v>22</v>
      </c>
      <c r="S9" s="89">
        <v>19</v>
      </c>
      <c r="T9" s="92">
        <v>31</v>
      </c>
      <c r="U9" s="102">
        <v>31</v>
      </c>
      <c r="V9" s="97">
        <v>1.0015E-2</v>
      </c>
      <c r="W9" s="97">
        <v>1.1376000000000001E-2</v>
      </c>
      <c r="X9" s="97">
        <f>(Table1[[#This Row],[V_2023]]-Table1[[#This Row],[V_2022]])/Table1[[#This Row],[V_2022]]</f>
        <v>0.13589615576635058</v>
      </c>
      <c r="Y9" s="97">
        <v>0.43919999999999998</v>
      </c>
      <c r="Z9" s="97">
        <v>0.44059999999999999</v>
      </c>
      <c r="AA9" s="97">
        <f>(Table1[[#This Row],[SA_2023]]-Table1[[#This Row],[SA_2022]])/Table1[[#This Row],[SA_2022]]</f>
        <v>3.1876138433515767E-3</v>
      </c>
    </row>
    <row r="10" spans="1:28" x14ac:dyDescent="0.3">
      <c r="A10" s="89" t="s">
        <v>33</v>
      </c>
      <c r="B10" s="89" t="s">
        <v>18</v>
      </c>
      <c r="C10" s="89" t="s">
        <v>19</v>
      </c>
      <c r="D10" s="99">
        <v>2</v>
      </c>
      <c r="E10" s="90" t="s">
        <v>20</v>
      </c>
      <c r="F10" s="90" t="s">
        <v>83</v>
      </c>
      <c r="G10" s="89" t="s">
        <v>32</v>
      </c>
      <c r="H10" s="89">
        <v>9</v>
      </c>
      <c r="I10" s="91">
        <v>1</v>
      </c>
      <c r="J10" s="91">
        <v>9.9900000000000003E-2</v>
      </c>
      <c r="K10" s="91">
        <v>-9.9900000000000003E-2</v>
      </c>
      <c r="L10" s="91">
        <v>-3.3500000000000002E-2</v>
      </c>
      <c r="M10" s="91">
        <v>6.2700000000000006E-2</v>
      </c>
      <c r="N10" s="91">
        <v>-3.7699999999999997E-2</v>
      </c>
      <c r="O10" s="91">
        <v>2.1309999999999999E-2</v>
      </c>
      <c r="P10" s="91">
        <v>4.07E-2</v>
      </c>
      <c r="Q10" s="92" t="s">
        <v>27</v>
      </c>
      <c r="R10" s="89" t="s">
        <v>26</v>
      </c>
      <c r="S10" s="89">
        <v>41</v>
      </c>
      <c r="T10" s="92">
        <v>96</v>
      </c>
      <c r="U10" s="102">
        <v>96</v>
      </c>
      <c r="V10" s="97">
        <v>7.2399999999999999E-3</v>
      </c>
      <c r="W10" s="97">
        <v>8.5419999999999992E-3</v>
      </c>
      <c r="X10" s="97">
        <f>(Table1[[#This Row],[V_2023]]-Table1[[#This Row],[V_2022]])/Table1[[#This Row],[V_2022]]</f>
        <v>0.17983425414364632</v>
      </c>
      <c r="Y10" s="97">
        <v>0.50819999999999999</v>
      </c>
      <c r="Z10" s="97">
        <v>0.3478</v>
      </c>
      <c r="AA10" s="97">
        <f>(Table1[[#This Row],[SA_2023]]-Table1[[#This Row],[SA_2022]])/Table1[[#This Row],[SA_2022]]</f>
        <v>-0.31562377016922472</v>
      </c>
    </row>
    <row r="11" spans="1:28" x14ac:dyDescent="0.3">
      <c r="A11" s="89" t="s">
        <v>33</v>
      </c>
      <c r="B11" s="89" t="s">
        <v>18</v>
      </c>
      <c r="C11" s="89" t="s">
        <v>19</v>
      </c>
      <c r="D11" s="99">
        <v>2</v>
      </c>
      <c r="E11" s="90" t="s">
        <v>20</v>
      </c>
      <c r="F11" s="90" t="s">
        <v>83</v>
      </c>
      <c r="G11" s="89" t="s">
        <v>32</v>
      </c>
      <c r="H11" s="89">
        <v>10</v>
      </c>
      <c r="I11" s="91">
        <v>45</v>
      </c>
      <c r="J11" s="91">
        <v>2.3599999999999999E-2</v>
      </c>
      <c r="K11" s="91">
        <v>-2.3599999999999999E-2</v>
      </c>
      <c r="L11" s="91">
        <v>3.2000000000000002E-3</v>
      </c>
      <c r="M11" s="91">
        <v>1.06E-2</v>
      </c>
      <c r="N11" s="91">
        <v>-9.1000000000000004E-3</v>
      </c>
      <c r="O11" s="91">
        <v>1.14E-2</v>
      </c>
      <c r="P11" s="91">
        <v>1.18E-2</v>
      </c>
      <c r="Q11" s="92" t="s">
        <v>27</v>
      </c>
      <c r="R11" s="89" t="s">
        <v>26</v>
      </c>
      <c r="S11" s="89">
        <v>17</v>
      </c>
      <c r="T11" s="92">
        <v>51</v>
      </c>
      <c r="U11" s="102">
        <v>51</v>
      </c>
      <c r="V11" s="97">
        <v>8.4060000000000003E-3</v>
      </c>
      <c r="W11" s="97">
        <v>8.6459999999999992E-3</v>
      </c>
      <c r="X11" s="97">
        <f>(Table1[[#This Row],[V_2023]]-Table1[[#This Row],[V_2022]])/Table1[[#This Row],[V_2022]]</f>
        <v>2.8551034975017712E-2</v>
      </c>
      <c r="Y11" s="97">
        <v>0.46360000000000001</v>
      </c>
      <c r="Z11" s="97">
        <v>0.5302</v>
      </c>
      <c r="AA11" s="97">
        <f>(Table1[[#This Row],[SA_2023]]-Table1[[#This Row],[SA_2022]])/Table1[[#This Row],[SA_2022]]</f>
        <v>0.14365832614322691</v>
      </c>
    </row>
    <row r="12" spans="1:28" x14ac:dyDescent="0.3">
      <c r="A12" s="89" t="s">
        <v>34</v>
      </c>
      <c r="B12" s="89" t="s">
        <v>18</v>
      </c>
      <c r="C12" s="89" t="s">
        <v>19</v>
      </c>
      <c r="D12" s="99">
        <v>2</v>
      </c>
      <c r="E12" s="90" t="s">
        <v>20</v>
      </c>
      <c r="F12" s="90" t="s">
        <v>83</v>
      </c>
      <c r="G12" s="89" t="s">
        <v>32</v>
      </c>
      <c r="H12" s="89">
        <v>11</v>
      </c>
      <c r="I12" s="91">
        <v>1</v>
      </c>
      <c r="J12" s="91">
        <v>0.1</v>
      </c>
      <c r="K12" s="91">
        <v>0.1</v>
      </c>
      <c r="L12" s="91">
        <v>5.1000000000000004E-3</v>
      </c>
      <c r="M12" s="91">
        <v>5.28E-2</v>
      </c>
      <c r="N12" s="91">
        <v>-5.4199999999999998E-2</v>
      </c>
      <c r="O12" s="91">
        <v>5.7200000000000001E-2</v>
      </c>
      <c r="P12" s="91">
        <v>5.74E-2</v>
      </c>
      <c r="Q12" s="92" t="s">
        <v>23</v>
      </c>
      <c r="R12" s="89" t="s">
        <v>22</v>
      </c>
      <c r="S12" s="89">
        <v>58</v>
      </c>
      <c r="T12" s="92">
        <v>104</v>
      </c>
      <c r="U12" s="102">
        <v>102</v>
      </c>
      <c r="V12" s="97">
        <v>0.12964500000000001</v>
      </c>
      <c r="W12" s="97">
        <v>5.9882999999999999E-2</v>
      </c>
      <c r="X12" s="97">
        <f>(Table1[[#This Row],[V_2023]]-Table1[[#This Row],[V_2022]])/Table1[[#This Row],[V_2022]]</f>
        <v>-0.53810019669096387</v>
      </c>
      <c r="Y12" s="97">
        <v>2.7025999999999999</v>
      </c>
      <c r="Z12" s="97">
        <v>1.7056</v>
      </c>
      <c r="AA12" s="97">
        <f>(Table1[[#This Row],[SA_2023]]-Table1[[#This Row],[SA_2022]])/Table1[[#This Row],[SA_2022]]</f>
        <v>-0.36890401835269737</v>
      </c>
    </row>
    <row r="13" spans="1:28" x14ac:dyDescent="0.3">
      <c r="A13" s="89" t="s">
        <v>34</v>
      </c>
      <c r="B13" s="89" t="s">
        <v>18</v>
      </c>
      <c r="C13" s="89" t="s">
        <v>19</v>
      </c>
      <c r="D13" s="99">
        <v>2</v>
      </c>
      <c r="E13" s="90" t="s">
        <v>20</v>
      </c>
      <c r="F13" s="90" t="s">
        <v>83</v>
      </c>
      <c r="G13" s="89" t="s">
        <v>32</v>
      </c>
      <c r="H13" s="89">
        <v>12</v>
      </c>
      <c r="I13" s="91">
        <v>1</v>
      </c>
      <c r="J13" s="91">
        <v>0.49919999999999998</v>
      </c>
      <c r="K13" s="91">
        <v>-0.4995</v>
      </c>
      <c r="L13" s="91">
        <v>-1.9900000000000001E-2</v>
      </c>
      <c r="M13" s="91">
        <v>0.1124</v>
      </c>
      <c r="N13" s="91">
        <v>-0.13400000000000001</v>
      </c>
      <c r="O13" s="91">
        <v>0.14699999999999999</v>
      </c>
      <c r="P13" s="91">
        <v>0.14410000000000001</v>
      </c>
      <c r="Q13" s="92" t="s">
        <v>23</v>
      </c>
      <c r="R13" s="89" t="s">
        <v>22</v>
      </c>
      <c r="S13" s="89">
        <v>6</v>
      </c>
      <c r="T13" s="92">
        <v>10</v>
      </c>
      <c r="U13" s="102">
        <v>10</v>
      </c>
      <c r="V13" s="97">
        <v>2.2712E-2</v>
      </c>
      <c r="W13" s="97">
        <v>9.4330000000000004E-3</v>
      </c>
      <c r="X13" s="97">
        <f>(Table1[[#This Row],[V_2023]]-Table1[[#This Row],[V_2022]])/Table1[[#This Row],[V_2022]]</f>
        <v>-0.58466889749911943</v>
      </c>
      <c r="Y13" s="97">
        <v>0.98980000000000001</v>
      </c>
      <c r="Z13" s="97">
        <v>0.49309999999999998</v>
      </c>
      <c r="AA13" s="97">
        <f>(Table1[[#This Row],[SA_2023]]-Table1[[#This Row],[SA_2022]])/Table1[[#This Row],[SA_2022]]</f>
        <v>-0.50181854920185898</v>
      </c>
    </row>
    <row r="14" spans="1:28" x14ac:dyDescent="0.3">
      <c r="A14" s="89" t="s">
        <v>35</v>
      </c>
      <c r="B14" s="89" t="s">
        <v>18</v>
      </c>
      <c r="C14" s="89" t="s">
        <v>19</v>
      </c>
      <c r="D14" s="99">
        <v>3</v>
      </c>
      <c r="E14" s="90" t="s">
        <v>36</v>
      </c>
      <c r="F14" s="90" t="s">
        <v>84</v>
      </c>
      <c r="G14" s="89" t="s">
        <v>21</v>
      </c>
      <c r="H14" s="89">
        <v>13</v>
      </c>
      <c r="I14" s="91">
        <v>1</v>
      </c>
      <c r="J14" s="91">
        <v>0.1</v>
      </c>
      <c r="K14" s="91">
        <v>-0.1</v>
      </c>
      <c r="L14" s="91">
        <v>-6.0000000000000001E-3</v>
      </c>
      <c r="M14" s="91">
        <v>4.1000000000000002E-2</v>
      </c>
      <c r="N14" s="91">
        <v>-4.6100000000000002E-2</v>
      </c>
      <c r="O14" s="91">
        <v>4.8300000000000003E-2</v>
      </c>
      <c r="P14" s="91">
        <v>4.87E-2</v>
      </c>
      <c r="Q14" s="92" t="s">
        <v>30</v>
      </c>
      <c r="R14" s="89" t="s">
        <v>37</v>
      </c>
      <c r="S14" s="89">
        <v>64</v>
      </c>
      <c r="T14" s="92">
        <v>73</v>
      </c>
      <c r="U14" s="103"/>
      <c r="V14" s="97">
        <v>1.2076E-2</v>
      </c>
      <c r="W14" s="97">
        <v>6.7299999999999999E-3</v>
      </c>
      <c r="X14" s="97">
        <f>(Table1[[#This Row],[V_2023]]-Table1[[#This Row],[V_2022]])/Table1[[#This Row],[V_2022]]</f>
        <v>-0.44269625703875454</v>
      </c>
      <c r="Y14" s="97">
        <v>0.48899999999999999</v>
      </c>
      <c r="Z14" s="97">
        <v>0.39090000000000003</v>
      </c>
      <c r="AA14" s="97">
        <f>(Table1[[#This Row],[SA_2023]]-Table1[[#This Row],[SA_2022]])/Table1[[#This Row],[SA_2022]]</f>
        <v>-0.20061349693251526</v>
      </c>
    </row>
    <row r="15" spans="1:28" x14ac:dyDescent="0.3">
      <c r="A15" s="89" t="s">
        <v>38</v>
      </c>
      <c r="B15" s="89" t="s">
        <v>18</v>
      </c>
      <c r="C15" s="89" t="s">
        <v>19</v>
      </c>
      <c r="D15" s="99">
        <v>3</v>
      </c>
      <c r="E15" s="90" t="s">
        <v>36</v>
      </c>
      <c r="F15" s="90" t="s">
        <v>84</v>
      </c>
      <c r="G15" s="89" t="s">
        <v>21</v>
      </c>
      <c r="H15" s="89">
        <v>14</v>
      </c>
      <c r="I15" s="91">
        <v>45</v>
      </c>
      <c r="J15" s="91">
        <v>1.24E-2</v>
      </c>
      <c r="K15" s="91">
        <v>-1.24E-2</v>
      </c>
      <c r="L15" s="91">
        <v>2.7000000000000001E-3</v>
      </c>
      <c r="M15" s="91">
        <v>5.3E-3</v>
      </c>
      <c r="N15" s="91">
        <v>-3.3999999999999998E-3</v>
      </c>
      <c r="O15" s="91">
        <v>5.0000000000000001E-3</v>
      </c>
      <c r="P15" s="91">
        <v>5.7000000000000002E-3</v>
      </c>
      <c r="Q15" s="92" t="s">
        <v>40</v>
      </c>
      <c r="R15" s="89" t="s">
        <v>39</v>
      </c>
      <c r="S15" s="89">
        <v>93</v>
      </c>
      <c r="T15" s="92">
        <v>110</v>
      </c>
      <c r="U15" s="103"/>
      <c r="V15" s="97">
        <v>1.941E-3</v>
      </c>
      <c r="W15" s="97">
        <v>2.5709999999999999E-3</v>
      </c>
      <c r="X15" s="97">
        <f>(Table1[[#This Row],[V_2023]]-Table1[[#This Row],[V_2022]])/Table1[[#This Row],[V_2022]]</f>
        <v>0.32457496136012359</v>
      </c>
      <c r="Y15" s="97">
        <v>0.1101</v>
      </c>
      <c r="Z15" s="97">
        <v>0.13170000000000001</v>
      </c>
      <c r="AA15" s="97">
        <f>(Table1[[#This Row],[SA_2023]]-Table1[[#This Row],[SA_2022]])/Table1[[#This Row],[SA_2022]]</f>
        <v>0.1961852861035423</v>
      </c>
    </row>
    <row r="16" spans="1:28" x14ac:dyDescent="0.3">
      <c r="A16" s="89" t="s">
        <v>41</v>
      </c>
      <c r="B16" s="89" t="s">
        <v>18</v>
      </c>
      <c r="C16" s="89" t="s">
        <v>19</v>
      </c>
      <c r="D16" s="99">
        <v>3</v>
      </c>
      <c r="E16" s="90" t="s">
        <v>36</v>
      </c>
      <c r="F16" s="90" t="s">
        <v>84</v>
      </c>
      <c r="G16" s="89" t="s">
        <v>21</v>
      </c>
      <c r="H16" s="89">
        <v>15</v>
      </c>
      <c r="I16" s="91">
        <v>45</v>
      </c>
      <c r="J16" s="91">
        <v>1.0999999999999999E-2</v>
      </c>
      <c r="K16" s="91">
        <v>-1.0999999999999999E-2</v>
      </c>
      <c r="L16" s="91">
        <v>-5.9999999999999995E-4</v>
      </c>
      <c r="M16" s="91">
        <v>4.8999999999999998E-3</v>
      </c>
      <c r="N16" s="91">
        <v>-5.1999999999999998E-3</v>
      </c>
      <c r="O16" s="91">
        <v>5.8999999999999999E-3</v>
      </c>
      <c r="P16" s="91">
        <v>5.8999999999999999E-3</v>
      </c>
      <c r="Q16" s="92" t="s">
        <v>40</v>
      </c>
      <c r="R16" s="89" t="s">
        <v>39</v>
      </c>
      <c r="S16" s="89">
        <v>5</v>
      </c>
      <c r="T16" s="92">
        <v>7</v>
      </c>
      <c r="U16" s="103"/>
      <c r="V16" s="97">
        <v>1.1479999999999999E-3</v>
      </c>
      <c r="W16" s="97">
        <v>1.078E-3</v>
      </c>
      <c r="X16" s="97">
        <f>(Table1[[#This Row],[V_2023]]-Table1[[#This Row],[V_2022]])/Table1[[#This Row],[V_2022]]</f>
        <v>-6.0975609756097539E-2</v>
      </c>
      <c r="Y16" s="97">
        <v>7.8600000000000003E-2</v>
      </c>
      <c r="Z16" s="97">
        <v>7.9799999999999996E-2</v>
      </c>
      <c r="AA16" s="97">
        <f>(Table1[[#This Row],[SA_2023]]-Table1[[#This Row],[SA_2022]])/Table1[[#This Row],[SA_2022]]</f>
        <v>1.5267175572518991E-2</v>
      </c>
    </row>
    <row r="17" spans="1:27" x14ac:dyDescent="0.3">
      <c r="A17" s="89" t="s">
        <v>41</v>
      </c>
      <c r="B17" s="89" t="s">
        <v>18</v>
      </c>
      <c r="C17" s="89" t="s">
        <v>19</v>
      </c>
      <c r="D17" s="99">
        <v>3</v>
      </c>
      <c r="E17" s="90" t="s">
        <v>36</v>
      </c>
      <c r="F17" s="90" t="s">
        <v>84</v>
      </c>
      <c r="G17" s="89" t="s">
        <v>21</v>
      </c>
      <c r="H17" s="89">
        <v>16</v>
      </c>
      <c r="I17" s="91">
        <v>1</v>
      </c>
      <c r="J17" s="91">
        <v>9.98E-2</v>
      </c>
      <c r="K17" s="91">
        <v>-9.9900000000000003E-2</v>
      </c>
      <c r="L17" s="91">
        <v>-4.5999999999999999E-3</v>
      </c>
      <c r="M17" s="91">
        <v>4.1700000000000001E-2</v>
      </c>
      <c r="N17" s="91">
        <v>-5.0700000000000002E-2</v>
      </c>
      <c r="O17" s="91">
        <v>5.2600000000000001E-2</v>
      </c>
      <c r="P17" s="91">
        <v>5.28E-2</v>
      </c>
      <c r="Q17" s="92" t="s">
        <v>27</v>
      </c>
      <c r="R17" s="89" t="s">
        <v>26</v>
      </c>
      <c r="S17" s="89">
        <v>40</v>
      </c>
      <c r="T17" s="92">
        <v>48</v>
      </c>
      <c r="U17" s="103"/>
      <c r="V17" s="97">
        <v>1.3709000000000001E-2</v>
      </c>
      <c r="W17" s="97">
        <v>1.32E-3</v>
      </c>
      <c r="X17" s="97">
        <f>(Table1[[#This Row],[V_2023]]-Table1[[#This Row],[V_2022]])/Table1[[#This Row],[V_2022]]</f>
        <v>-0.9037128893427675</v>
      </c>
      <c r="Y17" s="97">
        <v>0.53859999999999997</v>
      </c>
      <c r="Z17" s="97">
        <v>0.47899999999999998</v>
      </c>
      <c r="AA17" s="97">
        <f>(Table1[[#This Row],[SA_2023]]-Table1[[#This Row],[SA_2022]])/Table1[[#This Row],[SA_2022]]</f>
        <v>-0.11065725956182694</v>
      </c>
    </row>
    <row r="18" spans="1:27" x14ac:dyDescent="0.3">
      <c r="A18" s="89" t="s">
        <v>41</v>
      </c>
      <c r="B18" s="89" t="s">
        <v>18</v>
      </c>
      <c r="C18" s="89" t="s">
        <v>19</v>
      </c>
      <c r="D18" s="99">
        <v>3</v>
      </c>
      <c r="E18" s="90" t="s">
        <v>36</v>
      </c>
      <c r="F18" s="90" t="s">
        <v>84</v>
      </c>
      <c r="G18" s="89" t="s">
        <v>21</v>
      </c>
      <c r="H18" s="89">
        <v>17</v>
      </c>
      <c r="I18" s="91">
        <v>5</v>
      </c>
      <c r="J18" s="91">
        <v>0.17799999999999999</v>
      </c>
      <c r="K18" s="91">
        <v>-0.17799999999999999</v>
      </c>
      <c r="L18" s="91">
        <v>1.9699999999999999E-2</v>
      </c>
      <c r="M18" s="91">
        <v>0.09</v>
      </c>
      <c r="N18" s="91">
        <v>-8.72E-2</v>
      </c>
      <c r="O18" s="91">
        <v>9.5899999999999999E-2</v>
      </c>
      <c r="P18" s="91">
        <v>9.7900000000000001E-2</v>
      </c>
      <c r="Q18" s="92" t="s">
        <v>23</v>
      </c>
      <c r="R18" s="89" t="s">
        <v>22</v>
      </c>
      <c r="S18" s="89">
        <v>51</v>
      </c>
      <c r="T18" s="92">
        <v>63</v>
      </c>
      <c r="U18" s="103"/>
      <c r="V18" s="97">
        <v>2.4117799999999998</v>
      </c>
      <c r="W18" s="97">
        <v>1.465136</v>
      </c>
      <c r="X18" s="97">
        <f>(Table1[[#This Row],[V_2023]]-Table1[[#This Row],[V_2022]])/Table1[[#This Row],[V_2022]]</f>
        <v>-0.39250843775137029</v>
      </c>
      <c r="Y18" s="97">
        <v>19.4496</v>
      </c>
      <c r="Z18" s="97">
        <v>15.7532</v>
      </c>
      <c r="AA18" s="97">
        <f>(Table1[[#This Row],[SA_2023]]-Table1[[#This Row],[SA_2022]])/Table1[[#This Row],[SA_2022]]</f>
        <v>-0.19005018098058574</v>
      </c>
    </row>
    <row r="19" spans="1:27" x14ac:dyDescent="0.3">
      <c r="A19" s="89" t="s">
        <v>41</v>
      </c>
      <c r="B19" s="89" t="s">
        <v>18</v>
      </c>
      <c r="C19" s="89" t="s">
        <v>19</v>
      </c>
      <c r="D19" s="99">
        <v>3</v>
      </c>
      <c r="E19" s="90" t="s">
        <v>36</v>
      </c>
      <c r="F19" s="90" t="s">
        <v>84</v>
      </c>
      <c r="G19" s="89" t="s">
        <v>21</v>
      </c>
      <c r="H19" s="89">
        <v>18</v>
      </c>
      <c r="I19" s="91">
        <v>5</v>
      </c>
      <c r="J19" s="91">
        <v>0.05</v>
      </c>
      <c r="K19" s="91">
        <v>-0.05</v>
      </c>
      <c r="L19" s="91">
        <v>-6.1000000000000004E-3</v>
      </c>
      <c r="M19" s="91">
        <v>1.7100000000000001E-2</v>
      </c>
      <c r="N19" s="91">
        <v>-1.89E-2</v>
      </c>
      <c r="O19" s="91">
        <v>1.9699999999999999E-2</v>
      </c>
      <c r="P19" s="91">
        <v>2.06E-2</v>
      </c>
      <c r="Q19" s="92" t="s">
        <v>30</v>
      </c>
      <c r="R19" s="89" t="s">
        <v>37</v>
      </c>
      <c r="S19" s="89">
        <v>6</v>
      </c>
      <c r="T19" s="92">
        <v>8</v>
      </c>
      <c r="U19" s="103"/>
      <c r="V19" s="97">
        <v>7.8390000000000005E-3</v>
      </c>
      <c r="W19" s="97">
        <v>5.5510000000000004E-3</v>
      </c>
      <c r="X19" s="97">
        <f>(Table1[[#This Row],[V_2023]]-Table1[[#This Row],[V_2022]])/Table1[[#This Row],[V_2022]]</f>
        <v>-0.29187396351575456</v>
      </c>
      <c r="Y19" s="97">
        <v>0.32969999999999999</v>
      </c>
      <c r="Z19" s="97">
        <v>0.27339999999999998</v>
      </c>
      <c r="AA19" s="97">
        <f>(Table1[[#This Row],[SA_2023]]-Table1[[#This Row],[SA_2022]])/Table1[[#This Row],[SA_2022]]</f>
        <v>-0.17076129814983323</v>
      </c>
    </row>
    <row r="20" spans="1:27" x14ac:dyDescent="0.3">
      <c r="A20" s="89" t="s">
        <v>42</v>
      </c>
      <c r="B20" s="89" t="s">
        <v>18</v>
      </c>
      <c r="C20" s="89" t="s">
        <v>19</v>
      </c>
      <c r="D20" s="99">
        <v>4</v>
      </c>
      <c r="E20" s="90" t="s">
        <v>36</v>
      </c>
      <c r="F20" s="90" t="s">
        <v>84</v>
      </c>
      <c r="G20" s="89" t="s">
        <v>32</v>
      </c>
      <c r="H20" s="89">
        <v>19</v>
      </c>
      <c r="I20" s="91">
        <v>1</v>
      </c>
      <c r="J20" s="91">
        <v>9.98E-2</v>
      </c>
      <c r="K20" s="91">
        <v>-0.01</v>
      </c>
      <c r="L20" s="91">
        <v>-4.0000000000000001E-3</v>
      </c>
      <c r="M20" s="91">
        <v>3.3300000000000003E-2</v>
      </c>
      <c r="N20" s="91">
        <v>-3.5799999999999998E-2</v>
      </c>
      <c r="O20" s="91">
        <v>3.8800000000000001E-2</v>
      </c>
      <c r="P20" s="91">
        <v>3.9100000000000003E-2</v>
      </c>
      <c r="Q20" s="92" t="s">
        <v>30</v>
      </c>
      <c r="R20" s="89" t="s">
        <v>43</v>
      </c>
      <c r="S20" s="89">
        <v>95</v>
      </c>
      <c r="T20" s="92">
        <v>155</v>
      </c>
      <c r="U20" s="103"/>
      <c r="V20" s="97">
        <v>7.4130000000000003E-3</v>
      </c>
      <c r="W20" s="97">
        <v>6.6480000000000003E-3</v>
      </c>
      <c r="X20" s="97">
        <f>(Table1[[#This Row],[V_2023]]-Table1[[#This Row],[V_2022]])/Table1[[#This Row],[V_2022]]</f>
        <v>-0.10319708619991906</v>
      </c>
      <c r="Y20" s="97">
        <v>0.66290000000000004</v>
      </c>
      <c r="Z20" s="97">
        <v>0.4123</v>
      </c>
      <c r="AA20" s="97">
        <f>(Table1[[#This Row],[SA_2023]]-Table1[[#This Row],[SA_2022]])/Table1[[#This Row],[SA_2022]]</f>
        <v>-0.37803590285110883</v>
      </c>
    </row>
    <row r="21" spans="1:27" x14ac:dyDescent="0.3">
      <c r="A21" s="89" t="s">
        <v>44</v>
      </c>
      <c r="B21" s="89" t="s">
        <v>18</v>
      </c>
      <c r="C21" s="89" t="s">
        <v>19</v>
      </c>
      <c r="D21" s="99">
        <v>4</v>
      </c>
      <c r="E21" s="90" t="s">
        <v>36</v>
      </c>
      <c r="F21" s="90" t="s">
        <v>84</v>
      </c>
      <c r="G21" s="89" t="s">
        <v>32</v>
      </c>
      <c r="H21" s="89">
        <v>20</v>
      </c>
      <c r="I21" s="91">
        <v>5</v>
      </c>
      <c r="J21" s="91">
        <v>0.1</v>
      </c>
      <c r="K21" s="91">
        <v>-0.1</v>
      </c>
      <c r="L21" s="91">
        <v>-1.0500000000000001E-2</v>
      </c>
      <c r="M21" s="91">
        <v>3.0700000000000002E-2</v>
      </c>
      <c r="N21" s="91">
        <v>-3.0099999999999998E-2</v>
      </c>
      <c r="O21" s="91">
        <v>3.5499999999999997E-2</v>
      </c>
      <c r="P21" s="91">
        <v>3.5099999999999999E-2</v>
      </c>
      <c r="Q21" s="92" t="s">
        <v>30</v>
      </c>
      <c r="R21" s="89" t="s">
        <v>37</v>
      </c>
      <c r="S21" s="89">
        <v>3</v>
      </c>
      <c r="T21" s="92">
        <v>16</v>
      </c>
      <c r="U21" s="103"/>
      <c r="V21" s="97">
        <v>6.7506999999999998E-2</v>
      </c>
      <c r="W21" s="97">
        <v>4.3151000000000002E-2</v>
      </c>
      <c r="X21" s="97">
        <f>(Table1[[#This Row],[V_2023]]-Table1[[#This Row],[V_2022]])/Table1[[#This Row],[V_2022]]</f>
        <v>-0.36079221414075574</v>
      </c>
      <c r="Y21" s="97">
        <v>1.4816</v>
      </c>
      <c r="Z21" s="97">
        <v>1.1172</v>
      </c>
      <c r="AA21" s="97">
        <f>(Table1[[#This Row],[SA_2023]]-Table1[[#This Row],[SA_2022]])/Table1[[#This Row],[SA_2022]]</f>
        <v>-0.24595032397408212</v>
      </c>
    </row>
    <row r="22" spans="1:27" x14ac:dyDescent="0.3">
      <c r="A22" s="89" t="s">
        <v>44</v>
      </c>
      <c r="B22" s="89" t="s">
        <v>18</v>
      </c>
      <c r="C22" s="89" t="s">
        <v>19</v>
      </c>
      <c r="D22" s="99">
        <v>4</v>
      </c>
      <c r="E22" s="90" t="s">
        <v>36</v>
      </c>
      <c r="F22" s="90" t="s">
        <v>84</v>
      </c>
      <c r="G22" s="89" t="s">
        <v>32</v>
      </c>
      <c r="H22" s="89">
        <v>21</v>
      </c>
      <c r="I22" s="91">
        <v>1</v>
      </c>
      <c r="J22" s="91">
        <v>9.9989999999999996E-2</v>
      </c>
      <c r="K22" s="91">
        <v>-0.1</v>
      </c>
      <c r="L22" s="91">
        <v>-1.83E-2</v>
      </c>
      <c r="M22" s="91">
        <v>4.24E-2</v>
      </c>
      <c r="N22" s="91">
        <v>-4.5600000000000002E-2</v>
      </c>
      <c r="O22" s="91">
        <v>4.6899999999999997E-2</v>
      </c>
      <c r="P22" s="91">
        <v>5.0299999999999997E-2</v>
      </c>
      <c r="Q22" s="92" t="s">
        <v>30</v>
      </c>
      <c r="R22" s="89" t="s">
        <v>43</v>
      </c>
      <c r="S22" s="89">
        <v>22</v>
      </c>
      <c r="T22" s="92">
        <v>45</v>
      </c>
      <c r="U22" s="103"/>
      <c r="V22" s="97">
        <v>5.4910000000000002E-3</v>
      </c>
      <c r="W22" s="97">
        <v>1.903E-3</v>
      </c>
      <c r="X22" s="97">
        <f>(Table1[[#This Row],[V_2023]]-Table1[[#This Row],[V_2022]])/Table1[[#This Row],[V_2022]]</f>
        <v>-0.65343289018393735</v>
      </c>
      <c r="Y22" s="97">
        <v>0.31390000000000001</v>
      </c>
      <c r="Z22" s="97">
        <v>0.21049999999999999</v>
      </c>
      <c r="AA22" s="97">
        <f>(Table1[[#This Row],[SA_2023]]-Table1[[#This Row],[SA_2022]])/Table1[[#This Row],[SA_2022]]</f>
        <v>-0.32940426887543811</v>
      </c>
    </row>
    <row r="23" spans="1:27" x14ac:dyDescent="0.3">
      <c r="A23" s="89" t="s">
        <v>45</v>
      </c>
      <c r="B23" s="89" t="s">
        <v>18</v>
      </c>
      <c r="C23" s="89" t="s">
        <v>19</v>
      </c>
      <c r="D23" s="99">
        <v>4</v>
      </c>
      <c r="E23" s="90" t="s">
        <v>36</v>
      </c>
      <c r="F23" s="90" t="s">
        <v>84</v>
      </c>
      <c r="G23" s="89" t="s">
        <v>32</v>
      </c>
      <c r="H23" s="89">
        <v>22</v>
      </c>
      <c r="I23" s="91">
        <v>1</v>
      </c>
      <c r="J23" s="91">
        <v>9.9699999999999997E-2</v>
      </c>
      <c r="K23" s="91">
        <v>-9.98E-2</v>
      </c>
      <c r="L23" s="91">
        <v>-3.5999999999999999E-3</v>
      </c>
      <c r="M23" s="91">
        <v>4.9399999999999999E-2</v>
      </c>
      <c r="N23" s="91">
        <v>-4.9000000000000002E-2</v>
      </c>
      <c r="O23" s="91">
        <v>5.3499999999999999E-2</v>
      </c>
      <c r="P23" s="91">
        <v>5.3600000000000002E-2</v>
      </c>
      <c r="Q23" s="92" t="s">
        <v>30</v>
      </c>
      <c r="R23" s="89" t="s">
        <v>37</v>
      </c>
      <c r="S23" s="89">
        <v>2</v>
      </c>
      <c r="T23" s="92">
        <v>9</v>
      </c>
      <c r="U23" s="103"/>
      <c r="V23" s="97">
        <v>5.2690000000000002E-3</v>
      </c>
      <c r="W23" s="97">
        <v>1.2619999999999999E-2</v>
      </c>
      <c r="X23" s="97">
        <f>(Table1[[#This Row],[V_2023]]-Table1[[#This Row],[V_2022]])/Table1[[#This Row],[V_2022]]</f>
        <v>1.3951413930537102</v>
      </c>
      <c r="Y23" s="97">
        <v>0.30259999999999998</v>
      </c>
      <c r="Z23" s="97">
        <v>0.38490000000000002</v>
      </c>
      <c r="AA23" s="97">
        <f>(Table1[[#This Row],[SA_2023]]-Table1[[#This Row],[SA_2022]])/Table1[[#This Row],[SA_2022]]</f>
        <v>0.27197620621282237</v>
      </c>
    </row>
    <row r="24" spans="1:27" x14ac:dyDescent="0.3">
      <c r="A24" s="89" t="s">
        <v>45</v>
      </c>
      <c r="B24" s="89" t="s">
        <v>18</v>
      </c>
      <c r="C24" s="89" t="s">
        <v>19</v>
      </c>
      <c r="D24" s="99">
        <v>4</v>
      </c>
      <c r="E24" s="90" t="s">
        <v>36</v>
      </c>
      <c r="F24" s="90" t="s">
        <v>84</v>
      </c>
      <c r="G24" s="89" t="s">
        <v>32</v>
      </c>
      <c r="H24" s="89">
        <v>23</v>
      </c>
      <c r="I24" s="91">
        <v>1</v>
      </c>
      <c r="J24" s="91">
        <v>0.1</v>
      </c>
      <c r="K24" s="91">
        <v>-0.1</v>
      </c>
      <c r="L24" s="91">
        <v>-1.8E-3</v>
      </c>
      <c r="M24" s="91">
        <v>4.3900000000000002E-2</v>
      </c>
      <c r="N24" s="91">
        <v>-4.4499999999999998E-2</v>
      </c>
      <c r="O24" s="91">
        <v>4.9200000000000001E-2</v>
      </c>
      <c r="P24" s="91">
        <v>4.9200000000000001E-2</v>
      </c>
      <c r="Q24" s="92" t="s">
        <v>23</v>
      </c>
      <c r="R24" s="89" t="s">
        <v>22</v>
      </c>
      <c r="S24" s="89">
        <v>37</v>
      </c>
      <c r="T24" s="92">
        <v>105</v>
      </c>
      <c r="U24" s="103"/>
      <c r="V24" s="97">
        <v>1.8090000000000001E-3</v>
      </c>
      <c r="W24" s="97">
        <v>3.3839999999999999E-3</v>
      </c>
      <c r="X24" s="97">
        <f>(Table1[[#This Row],[V_2023]]-Table1[[#This Row],[V_2022]])/Table1[[#This Row],[V_2022]]</f>
        <v>0.87064676616915404</v>
      </c>
      <c r="Y24" s="97">
        <v>0.18590000000000001</v>
      </c>
      <c r="Z24" s="97">
        <v>0.31290000000000001</v>
      </c>
      <c r="AA24" s="97">
        <f>(Table1[[#This Row],[SA_2023]]-Table1[[#This Row],[SA_2022]])/Table1[[#This Row],[SA_2022]]</f>
        <v>0.68316299085529852</v>
      </c>
    </row>
    <row r="25" spans="1:27" x14ac:dyDescent="0.3">
      <c r="A25" s="89" t="s">
        <v>45</v>
      </c>
      <c r="B25" s="89" t="s">
        <v>18</v>
      </c>
      <c r="C25" s="89" t="s">
        <v>19</v>
      </c>
      <c r="D25" s="99">
        <v>4</v>
      </c>
      <c r="E25" s="90" t="s">
        <v>36</v>
      </c>
      <c r="F25" s="90" t="s">
        <v>84</v>
      </c>
      <c r="G25" s="89" t="s">
        <v>32</v>
      </c>
      <c r="H25" s="89">
        <v>24</v>
      </c>
      <c r="I25" s="91">
        <v>45</v>
      </c>
      <c r="J25" s="91">
        <v>7.3999999999999996E-2</v>
      </c>
      <c r="K25" s="91">
        <v>-7.3999999999999996E-2</v>
      </c>
      <c r="L25" s="91">
        <v>-9.9000000000000008E-3</v>
      </c>
      <c r="M25" s="91">
        <v>2.29E-2</v>
      </c>
      <c r="N25" s="91">
        <v>-2.47E-2</v>
      </c>
      <c r="O25" s="91">
        <v>2.75E-2</v>
      </c>
      <c r="P25" s="91">
        <v>2.93E-2</v>
      </c>
      <c r="Q25" s="92" t="s">
        <v>27</v>
      </c>
      <c r="R25" s="89" t="s">
        <v>26</v>
      </c>
      <c r="S25" s="89">
        <v>16</v>
      </c>
      <c r="T25" s="92">
        <v>58</v>
      </c>
      <c r="U25" s="103"/>
      <c r="V25" s="97">
        <v>9.3253000000000003E-2</v>
      </c>
      <c r="W25" s="97">
        <v>7.5540999999999997E-2</v>
      </c>
      <c r="X25" s="97">
        <f>(Table1[[#This Row],[V_2023]]-Table1[[#This Row],[V_2022]])/Table1[[#This Row],[V_2022]]</f>
        <v>-0.18993490826032411</v>
      </c>
      <c r="Y25" s="97">
        <v>4.2872000000000003</v>
      </c>
      <c r="Z25" s="97">
        <v>4.3380000000000001</v>
      </c>
      <c r="AA25" s="97">
        <f>(Table1[[#This Row],[SA_2023]]-Table1[[#This Row],[SA_2022]])/Table1[[#This Row],[SA_2022]]</f>
        <v>1.1849225601791316E-2</v>
      </c>
    </row>
    <row r="26" spans="1:27" x14ac:dyDescent="0.3">
      <c r="A26" s="89" t="s">
        <v>46</v>
      </c>
      <c r="B26" s="89" t="s">
        <v>18</v>
      </c>
      <c r="C26" s="89" t="s">
        <v>19</v>
      </c>
      <c r="D26" s="99">
        <v>5</v>
      </c>
      <c r="E26" s="90" t="s">
        <v>47</v>
      </c>
      <c r="F26" s="90" t="s">
        <v>84</v>
      </c>
      <c r="G26" s="89" t="s">
        <v>21</v>
      </c>
      <c r="H26" s="89">
        <v>25</v>
      </c>
      <c r="I26" s="91">
        <v>5</v>
      </c>
      <c r="J26" s="91">
        <v>2.1899999999999999E-2</v>
      </c>
      <c r="K26" s="91">
        <v>-2.1899999999999999E-2</v>
      </c>
      <c r="L26" s="91">
        <v>3.0999999999999999E-3</v>
      </c>
      <c r="M26" s="91">
        <v>1.0699999999999999E-2</v>
      </c>
      <c r="N26" s="91">
        <v>-1.11E-2</v>
      </c>
      <c r="O26" s="91">
        <v>1.1599999999999999E-2</v>
      </c>
      <c r="P26" s="91">
        <v>1.2E-2</v>
      </c>
      <c r="Q26" s="92" t="s">
        <v>23</v>
      </c>
      <c r="R26" s="89" t="s">
        <v>48</v>
      </c>
      <c r="S26" s="89">
        <v>10</v>
      </c>
      <c r="T26" s="92">
        <v>58</v>
      </c>
      <c r="U26" s="102">
        <v>14</v>
      </c>
      <c r="V26" s="97">
        <v>1.2422000000000001E-2</v>
      </c>
      <c r="W26" s="97">
        <v>5.2830000000000004E-3</v>
      </c>
      <c r="X26" s="97">
        <f>(Table1[[#This Row],[V_2023]]-Table1[[#This Row],[V_2022]])/Table1[[#This Row],[V_2022]]</f>
        <v>-0.57470616647882788</v>
      </c>
      <c r="Y26" s="97">
        <v>0.49099999999999999</v>
      </c>
      <c r="Z26" s="97">
        <v>0.36149999999999999</v>
      </c>
      <c r="AA26" s="97">
        <f>(Table1[[#This Row],[SA_2023]]-Table1[[#This Row],[SA_2022]])/Table1[[#This Row],[SA_2022]]</f>
        <v>-0.26374745417515277</v>
      </c>
    </row>
    <row r="27" spans="1:27" ht="15.45" customHeight="1" x14ac:dyDescent="0.3">
      <c r="A27" s="89" t="s">
        <v>46</v>
      </c>
      <c r="B27" s="89" t="s">
        <v>18</v>
      </c>
      <c r="C27" s="89" t="s">
        <v>19</v>
      </c>
      <c r="D27" s="99">
        <v>5</v>
      </c>
      <c r="E27" s="90" t="s">
        <v>47</v>
      </c>
      <c r="F27" s="90" t="s">
        <v>84</v>
      </c>
      <c r="G27" s="89" t="s">
        <v>21</v>
      </c>
      <c r="H27" s="89">
        <v>26</v>
      </c>
      <c r="I27" s="91">
        <v>5</v>
      </c>
      <c r="J27" s="91">
        <v>3.1600000000000003E-2</v>
      </c>
      <c r="K27" s="91">
        <v>-3.1600000000000003E-2</v>
      </c>
      <c r="L27" s="91">
        <v>5.1000000000000004E-3</v>
      </c>
      <c r="M27" s="91">
        <v>1.61E-2</v>
      </c>
      <c r="N27" s="91">
        <v>-1.54E-2</v>
      </c>
      <c r="O27" s="91">
        <v>1.67E-2</v>
      </c>
      <c r="P27" s="91">
        <v>1.7399999999999999E-2</v>
      </c>
      <c r="Q27" s="92" t="s">
        <v>23</v>
      </c>
      <c r="R27" s="89" t="s">
        <v>22</v>
      </c>
      <c r="S27" s="89">
        <v>55</v>
      </c>
      <c r="T27" s="92">
        <v>78</v>
      </c>
      <c r="U27" s="102">
        <v>77</v>
      </c>
      <c r="V27" s="97">
        <v>8.1349999999999999E-3</v>
      </c>
      <c r="W27" s="97">
        <v>1.2204E-2</v>
      </c>
      <c r="X27" s="97">
        <f>(Table1[[#This Row],[V_2023]]-Table1[[#This Row],[V_2022]])/Table1[[#This Row],[V_2022]]</f>
        <v>0.5001843884449908</v>
      </c>
      <c r="Y27" s="97">
        <v>0.7006</v>
      </c>
      <c r="Z27" s="97">
        <v>0.60719999999999996</v>
      </c>
      <c r="AA27" s="97">
        <f>(Table1[[#This Row],[SA_2023]]-Table1[[#This Row],[SA_2022]])/Table1[[#This Row],[SA_2022]]</f>
        <v>-0.1333143020268342</v>
      </c>
    </row>
    <row r="28" spans="1:27" x14ac:dyDescent="0.3">
      <c r="A28" s="89" t="s">
        <v>49</v>
      </c>
      <c r="B28" s="89" t="s">
        <v>18</v>
      </c>
      <c r="C28" s="89" t="s">
        <v>19</v>
      </c>
      <c r="D28" s="99">
        <v>5</v>
      </c>
      <c r="E28" s="90" t="s">
        <v>47</v>
      </c>
      <c r="F28" s="90" t="s">
        <v>84</v>
      </c>
      <c r="G28" s="89" t="s">
        <v>21</v>
      </c>
      <c r="H28" s="89">
        <v>27</v>
      </c>
      <c r="I28" s="91">
        <v>1</v>
      </c>
      <c r="J28" s="91">
        <v>0.1</v>
      </c>
      <c r="K28" s="91">
        <v>-0.1</v>
      </c>
      <c r="L28" s="91">
        <v>2.24E-2</v>
      </c>
      <c r="M28" s="91">
        <v>4.6699999999999998E-2</v>
      </c>
      <c r="N28" s="91">
        <v>-4.5600000000000002E-2</v>
      </c>
      <c r="O28" s="91">
        <v>4.5499999999999999E-2</v>
      </c>
      <c r="P28" s="91">
        <v>5.0700000000000002E-2</v>
      </c>
      <c r="Q28" s="92" t="s">
        <v>27</v>
      </c>
      <c r="R28" s="89" t="s">
        <v>50</v>
      </c>
      <c r="S28" s="89">
        <v>65</v>
      </c>
      <c r="T28" s="92">
        <v>83</v>
      </c>
      <c r="U28" s="102">
        <v>87</v>
      </c>
      <c r="V28" s="97">
        <v>5.489E-3</v>
      </c>
      <c r="W28" s="97">
        <v>1.4638999999999999E-2</v>
      </c>
      <c r="X28" s="97">
        <f>(Table1[[#This Row],[V_2023]]-Table1[[#This Row],[V_2022]])/Table1[[#This Row],[V_2022]]</f>
        <v>1.6669703042448532</v>
      </c>
      <c r="Y28" s="97">
        <v>0.44400000000000001</v>
      </c>
      <c r="Z28" s="97">
        <v>0.5151</v>
      </c>
      <c r="AA28" s="97">
        <f>(Table1[[#This Row],[SA_2023]]-Table1[[#This Row],[SA_2022]])/Table1[[#This Row],[SA_2022]]</f>
        <v>0.16013513513513514</v>
      </c>
    </row>
    <row r="29" spans="1:27" x14ac:dyDescent="0.3">
      <c r="A29" s="89" t="s">
        <v>49</v>
      </c>
      <c r="B29" s="89" t="s">
        <v>18</v>
      </c>
      <c r="C29" s="89" t="s">
        <v>19</v>
      </c>
      <c r="D29" s="99">
        <v>5</v>
      </c>
      <c r="E29" s="90" t="s">
        <v>47</v>
      </c>
      <c r="F29" s="90" t="s">
        <v>84</v>
      </c>
      <c r="G29" s="89" t="s">
        <v>21</v>
      </c>
      <c r="H29" s="89">
        <v>28</v>
      </c>
      <c r="I29" s="52">
        <v>45</v>
      </c>
      <c r="J29" s="91">
        <v>2.18E-2</v>
      </c>
      <c r="K29" s="91">
        <v>-2.18E-2</v>
      </c>
      <c r="L29" s="91">
        <v>3.5000000000000001E-3</v>
      </c>
      <c r="M29" s="91">
        <v>8.3999999999999995E-3</v>
      </c>
      <c r="N29" s="91">
        <v>-6.7000000000000002E-3</v>
      </c>
      <c r="O29" s="91">
        <v>8.6999999999999994E-3</v>
      </c>
      <c r="P29" s="91">
        <v>9.4000000000000004E-3</v>
      </c>
      <c r="Q29" s="92" t="s">
        <v>23</v>
      </c>
      <c r="R29" s="89" t="s">
        <v>22</v>
      </c>
      <c r="S29" s="89">
        <v>79</v>
      </c>
      <c r="T29" s="92">
        <v>104</v>
      </c>
      <c r="U29" s="102">
        <v>107</v>
      </c>
      <c r="V29" s="97">
        <v>6.1679999999999999E-3</v>
      </c>
      <c r="W29" s="97">
        <v>5.4409999999999997E-3</v>
      </c>
      <c r="X29" s="97">
        <f>(Table1[[#This Row],[V_2023]]-Table1[[#This Row],[V_2022]])/Table1[[#This Row],[V_2022]]</f>
        <v>-0.11786640726329446</v>
      </c>
      <c r="Y29" s="97">
        <v>0.31680000000000003</v>
      </c>
      <c r="Z29" s="97">
        <v>0.32090000000000002</v>
      </c>
      <c r="AA29" s="97">
        <f>(Table1[[#This Row],[SA_2023]]-Table1[[#This Row],[SA_2022]])/Table1[[#This Row],[SA_2022]]</f>
        <v>1.2941919191919168E-2</v>
      </c>
    </row>
    <row r="30" spans="1:27" x14ac:dyDescent="0.3">
      <c r="A30" s="89" t="s">
        <v>51</v>
      </c>
      <c r="B30" s="89" t="s">
        <v>18</v>
      </c>
      <c r="C30" s="89" t="s">
        <v>19</v>
      </c>
      <c r="D30" s="99">
        <v>5</v>
      </c>
      <c r="E30" s="90" t="s">
        <v>47</v>
      </c>
      <c r="F30" s="90" t="s">
        <v>84</v>
      </c>
      <c r="G30" s="89" t="s">
        <v>21</v>
      </c>
      <c r="H30" s="89">
        <v>29</v>
      </c>
      <c r="I30" s="91">
        <v>45</v>
      </c>
      <c r="J30" s="91">
        <v>0.05</v>
      </c>
      <c r="K30" s="91">
        <v>-0.05</v>
      </c>
      <c r="L30" s="91">
        <v>5.4000000000000003E-3</v>
      </c>
      <c r="M30" s="91">
        <v>1.7299999999999999E-2</v>
      </c>
      <c r="N30" s="91">
        <v>-1.66E-2</v>
      </c>
      <c r="O30" s="91">
        <v>1.84E-2</v>
      </c>
      <c r="P30" s="91">
        <v>1.9199999999999998E-2</v>
      </c>
      <c r="Q30" s="92" t="s">
        <v>23</v>
      </c>
      <c r="R30" s="89" t="s">
        <v>22</v>
      </c>
      <c r="S30" s="89">
        <v>32</v>
      </c>
      <c r="T30" s="92">
        <v>44</v>
      </c>
      <c r="U30" s="102">
        <v>48</v>
      </c>
      <c r="V30" s="97">
        <v>3.4640000000000001E-3</v>
      </c>
      <c r="W30" s="97">
        <v>4.7210000000000004E-3</v>
      </c>
      <c r="X30" s="97">
        <f>(Table1[[#This Row],[V_2023]]-Table1[[#This Row],[V_2022]])/Table1[[#This Row],[V_2022]]</f>
        <v>0.36287528868360286</v>
      </c>
      <c r="Y30" s="97">
        <v>0.22869999999999999</v>
      </c>
      <c r="Z30" s="97">
        <v>0.2283</v>
      </c>
      <c r="AA30" s="97">
        <f>(Table1[[#This Row],[SA_2023]]-Table1[[#This Row],[SA_2022]])/Table1[[#This Row],[SA_2022]]</f>
        <v>-1.7490161783995791E-3</v>
      </c>
    </row>
    <row r="31" spans="1:27" x14ac:dyDescent="0.3">
      <c r="A31" s="89" t="s">
        <v>51</v>
      </c>
      <c r="B31" s="89" t="s">
        <v>18</v>
      </c>
      <c r="C31" s="89" t="s">
        <v>19</v>
      </c>
      <c r="D31" s="99">
        <v>5</v>
      </c>
      <c r="E31" s="90" t="s">
        <v>47</v>
      </c>
      <c r="F31" s="90" t="s">
        <v>84</v>
      </c>
      <c r="G31" s="89" t="s">
        <v>21</v>
      </c>
      <c r="H31" s="89">
        <v>30</v>
      </c>
      <c r="I31" s="91">
        <v>1</v>
      </c>
      <c r="J31" s="91">
        <v>0.1</v>
      </c>
      <c r="K31" s="91">
        <v>-0.1</v>
      </c>
      <c r="L31" s="91">
        <v>2.5399999999999999E-2</v>
      </c>
      <c r="M31" s="91">
        <v>6.4699999999999994E-2</v>
      </c>
      <c r="N31" s="91">
        <v>-6.1699999999999998E-2</v>
      </c>
      <c r="O31" s="91">
        <v>6.2E-2</v>
      </c>
      <c r="P31" s="91">
        <v>6.7000000000000004E-2</v>
      </c>
      <c r="Q31" s="92" t="s">
        <v>23</v>
      </c>
      <c r="R31" s="89" t="s">
        <v>22</v>
      </c>
      <c r="S31" s="89">
        <v>42</v>
      </c>
      <c r="T31" s="92">
        <v>61</v>
      </c>
      <c r="U31" s="102">
        <v>63</v>
      </c>
      <c r="V31" s="97">
        <v>0.32255299999999998</v>
      </c>
      <c r="W31" s="97">
        <v>0.173734</v>
      </c>
      <c r="X31" s="97">
        <f>(Table1[[#This Row],[V_2023]]-Table1[[#This Row],[V_2022]])/Table1[[#This Row],[V_2022]]</f>
        <v>-0.46137844013231932</v>
      </c>
      <c r="Y31" s="97">
        <v>5.0693000000000001</v>
      </c>
      <c r="Z31" s="97">
        <v>4.4558999999999997</v>
      </c>
      <c r="AA31" s="97">
        <f>(Table1[[#This Row],[SA_2023]]-Table1[[#This Row],[SA_2022]])/Table1[[#This Row],[SA_2022]]</f>
        <v>-0.12100289980865216</v>
      </c>
    </row>
    <row r="32" spans="1:27" x14ac:dyDescent="0.3">
      <c r="A32" s="89" t="s">
        <v>52</v>
      </c>
      <c r="B32" s="89" t="s">
        <v>18</v>
      </c>
      <c r="C32" s="89" t="s">
        <v>19</v>
      </c>
      <c r="D32" s="99">
        <v>6</v>
      </c>
      <c r="E32" s="90" t="s">
        <v>47</v>
      </c>
      <c r="F32" s="90" t="s">
        <v>84</v>
      </c>
      <c r="G32" s="89" t="s">
        <v>32</v>
      </c>
      <c r="H32" s="89">
        <v>31</v>
      </c>
      <c r="I32" s="91">
        <v>5</v>
      </c>
      <c r="J32" s="91">
        <v>2.9000000000000001E-2</v>
      </c>
      <c r="K32" s="91">
        <v>-2.9000000000000001E-2</v>
      </c>
      <c r="L32" s="91">
        <v>4.0000000000000001E-3</v>
      </c>
      <c r="M32" s="91">
        <v>1.6199999999999999E-2</v>
      </c>
      <c r="N32" s="91">
        <v>-1.4999999999999999E-2</v>
      </c>
      <c r="O32" s="91">
        <v>1.67E-2</v>
      </c>
      <c r="P32" s="91">
        <v>1.72E-2</v>
      </c>
      <c r="Q32" s="92" t="s">
        <v>23</v>
      </c>
      <c r="R32" s="89" t="s">
        <v>53</v>
      </c>
      <c r="S32" s="89">
        <v>88</v>
      </c>
      <c r="T32" s="92">
        <v>216</v>
      </c>
      <c r="U32" s="104"/>
      <c r="V32" s="97">
        <v>1.0793000000000001E-2</v>
      </c>
      <c r="W32" s="97">
        <v>1.7013E-2</v>
      </c>
      <c r="X32" s="97">
        <f>(Table1[[#This Row],[V_2023]]-Table1[[#This Row],[V_2022]])/Table1[[#This Row],[V_2022]]</f>
        <v>0.57629945334939303</v>
      </c>
      <c r="Y32" s="97">
        <v>0.60209999999999997</v>
      </c>
      <c r="Z32" s="97">
        <v>0.68810000000000004</v>
      </c>
      <c r="AA32" s="97">
        <f>(Table1[[#This Row],[SA_2023]]-Table1[[#This Row],[SA_2022]])/Table1[[#This Row],[SA_2022]]</f>
        <v>0.1428334163760174</v>
      </c>
    </row>
    <row r="33" spans="1:28" x14ac:dyDescent="0.3">
      <c r="A33" s="89" t="s">
        <v>54</v>
      </c>
      <c r="B33" s="89" t="s">
        <v>18</v>
      </c>
      <c r="C33" s="89" t="s">
        <v>19</v>
      </c>
      <c r="D33" s="99">
        <v>6</v>
      </c>
      <c r="E33" s="90" t="s">
        <v>47</v>
      </c>
      <c r="F33" s="90" t="s">
        <v>84</v>
      </c>
      <c r="G33" s="89" t="s">
        <v>32</v>
      </c>
      <c r="H33" s="89">
        <v>32</v>
      </c>
      <c r="I33" s="91">
        <v>45</v>
      </c>
      <c r="J33" s="91">
        <v>2.93E-2</v>
      </c>
      <c r="K33" s="91">
        <v>-2.93E-2</v>
      </c>
      <c r="L33" s="91">
        <v>7.0000000000000001E-3</v>
      </c>
      <c r="M33" s="91">
        <v>1.2699999999999999E-2</v>
      </c>
      <c r="N33" s="91">
        <v>-8.6E-3</v>
      </c>
      <c r="O33" s="91">
        <v>1.1900000000000001E-2</v>
      </c>
      <c r="P33" s="91">
        <v>1.38E-2</v>
      </c>
      <c r="Q33" s="92" t="s">
        <v>23</v>
      </c>
      <c r="R33" s="89" t="s">
        <v>22</v>
      </c>
      <c r="S33" s="89">
        <v>19</v>
      </c>
      <c r="T33" s="92">
        <v>74</v>
      </c>
      <c r="U33" s="104"/>
      <c r="V33" s="97">
        <v>1.4751999999999999E-2</v>
      </c>
      <c r="W33" s="97">
        <v>1.5393E-2</v>
      </c>
      <c r="X33" s="97">
        <f>(Table1[[#This Row],[V_2023]]-Table1[[#This Row],[V_2022]])/Table1[[#This Row],[V_2022]]</f>
        <v>4.3451735357917638E-2</v>
      </c>
      <c r="Y33" s="97">
        <v>0.65780000000000005</v>
      </c>
      <c r="Z33" s="97">
        <v>0.49959999999999999</v>
      </c>
      <c r="AA33" s="97">
        <f>(Table1[[#This Row],[SA_2023]]-Table1[[#This Row],[SA_2022]])/Table1[[#This Row],[SA_2022]]</f>
        <v>-0.2404986318029797</v>
      </c>
    </row>
    <row r="34" spans="1:28" x14ac:dyDescent="0.3">
      <c r="A34" s="89" t="s">
        <v>54</v>
      </c>
      <c r="B34" s="89" t="s">
        <v>18</v>
      </c>
      <c r="C34" s="89" t="s">
        <v>19</v>
      </c>
      <c r="D34" s="99">
        <v>6</v>
      </c>
      <c r="E34" s="90" t="s">
        <v>47</v>
      </c>
      <c r="F34" s="90" t="s">
        <v>84</v>
      </c>
      <c r="G34" s="89" t="s">
        <v>32</v>
      </c>
      <c r="H34" s="89">
        <v>33</v>
      </c>
      <c r="I34" s="91">
        <v>5</v>
      </c>
      <c r="J34" s="91">
        <v>3.4099999999999998E-2</v>
      </c>
      <c r="K34" s="91">
        <v>-3.4099999999999998E-2</v>
      </c>
      <c r="L34" s="91">
        <v>8.6E-3</v>
      </c>
      <c r="M34" s="91">
        <v>1.47E-2</v>
      </c>
      <c r="N34" s="91">
        <v>-1.4E-2</v>
      </c>
      <c r="O34" s="91">
        <v>1.4E-2</v>
      </c>
      <c r="P34" s="91">
        <v>1.6500000000000001E-2</v>
      </c>
      <c r="Q34" s="92" t="s">
        <v>27</v>
      </c>
      <c r="R34" s="89" t="s">
        <v>26</v>
      </c>
      <c r="S34" s="89">
        <v>46</v>
      </c>
      <c r="T34" s="92">
        <v>166</v>
      </c>
      <c r="U34" s="104"/>
      <c r="V34" s="97">
        <v>8.182E-3</v>
      </c>
      <c r="W34" s="97">
        <v>1.1752E-2</v>
      </c>
      <c r="X34" s="97">
        <f>(Table1[[#This Row],[V_2023]]-Table1[[#This Row],[V_2022]])/Table1[[#This Row],[V_2022]]</f>
        <v>0.4363236372525055</v>
      </c>
      <c r="Y34" s="97">
        <v>0.57840000000000003</v>
      </c>
      <c r="Z34" s="97">
        <v>0.56510000000000005</v>
      </c>
      <c r="AA34" s="97">
        <f>(Table1[[#This Row],[SA_2023]]-Table1[[#This Row],[SA_2022]])/Table1[[#This Row],[SA_2022]]</f>
        <v>-2.2994467496542149E-2</v>
      </c>
    </row>
    <row r="35" spans="1:28" x14ac:dyDescent="0.3">
      <c r="A35" s="89" t="s">
        <v>55</v>
      </c>
      <c r="B35" s="89" t="s">
        <v>18</v>
      </c>
      <c r="C35" s="89" t="s">
        <v>19</v>
      </c>
      <c r="D35" s="99">
        <v>6</v>
      </c>
      <c r="E35" s="90" t="s">
        <v>47</v>
      </c>
      <c r="F35" s="90" t="s">
        <v>84</v>
      </c>
      <c r="G35" s="89" t="s">
        <v>32</v>
      </c>
      <c r="H35" s="89">
        <v>34</v>
      </c>
      <c r="I35" s="91">
        <v>45</v>
      </c>
      <c r="J35" s="91">
        <v>3.04E-2</v>
      </c>
      <c r="K35" s="91">
        <v>-3.04E-2</v>
      </c>
      <c r="L35" s="91">
        <v>6.9999999999999999E-4</v>
      </c>
      <c r="M35" s="91">
        <v>1.21E-2</v>
      </c>
      <c r="N35" s="91">
        <v>-1.12E-2</v>
      </c>
      <c r="O35" s="91">
        <v>1.38E-2</v>
      </c>
      <c r="P35" s="91">
        <v>1.38E-2</v>
      </c>
      <c r="Q35" s="92" t="s">
        <v>27</v>
      </c>
      <c r="R35" s="89" t="s">
        <v>26</v>
      </c>
      <c r="S35" s="89">
        <v>51</v>
      </c>
      <c r="T35" s="92">
        <v>91</v>
      </c>
      <c r="U35" s="104"/>
      <c r="V35" s="97">
        <v>8.1379999999999994E-3</v>
      </c>
      <c r="W35" s="97">
        <v>1.1073E-2</v>
      </c>
      <c r="X35" s="97">
        <f>(Table1[[#This Row],[V_2023]]-Table1[[#This Row],[V_2022]])/Table1[[#This Row],[V_2022]]</f>
        <v>0.36065372327353162</v>
      </c>
      <c r="Y35" s="97">
        <v>0.58709999999999996</v>
      </c>
      <c r="Z35" s="97">
        <v>0.64659999999999995</v>
      </c>
      <c r="AA35" s="97">
        <f>(Table1[[#This Row],[SA_2023]]-Table1[[#This Row],[SA_2022]])/Table1[[#This Row],[SA_2022]]</f>
        <v>0.10134559700221428</v>
      </c>
    </row>
    <row r="36" spans="1:28" x14ac:dyDescent="0.3">
      <c r="A36" s="89" t="s">
        <v>55</v>
      </c>
      <c r="B36" s="89" t="s">
        <v>18</v>
      </c>
      <c r="C36" s="89" t="s">
        <v>19</v>
      </c>
      <c r="D36" s="99">
        <v>6</v>
      </c>
      <c r="E36" s="90" t="s">
        <v>47</v>
      </c>
      <c r="F36" s="90" t="s">
        <v>84</v>
      </c>
      <c r="G36" s="89" t="s">
        <v>32</v>
      </c>
      <c r="H36" s="89">
        <v>35</v>
      </c>
      <c r="I36" s="91">
        <v>45</v>
      </c>
      <c r="J36" s="91">
        <v>0.01</v>
      </c>
      <c r="K36" s="91">
        <v>-0.01</v>
      </c>
      <c r="L36" s="91">
        <v>2.9999999999999997E-4</v>
      </c>
      <c r="M36" s="91">
        <v>4.0000000000000001E-3</v>
      </c>
      <c r="N36" s="91">
        <v>-4.1000000000000003E-3</v>
      </c>
      <c r="O36" s="91">
        <v>4.7000000000000002E-3</v>
      </c>
      <c r="P36" s="91">
        <v>4.7000000000000002E-3</v>
      </c>
      <c r="Q36" s="92" t="s">
        <v>30</v>
      </c>
      <c r="R36" s="89" t="s">
        <v>37</v>
      </c>
      <c r="S36" s="89">
        <v>2</v>
      </c>
      <c r="T36" s="92">
        <v>14</v>
      </c>
      <c r="U36" s="104"/>
      <c r="V36" s="97">
        <v>9.6328899999999999E-4</v>
      </c>
      <c r="W36" s="97">
        <v>7.25623E-4</v>
      </c>
      <c r="X36" s="97">
        <f>(Table1[[#This Row],[V_2023]]-Table1[[#This Row],[V_2022]])/Table1[[#This Row],[V_2022]]</f>
        <v>-0.24672346512832596</v>
      </c>
      <c r="Y36" s="97">
        <v>6.5600000000000006E-2</v>
      </c>
      <c r="Z36" s="97">
        <v>5.8999999999999997E-2</v>
      </c>
      <c r="AA36" s="97">
        <f>(Table1[[#This Row],[SA_2023]]-Table1[[#This Row],[SA_2022]])/Table1[[#This Row],[SA_2022]]</f>
        <v>-0.10060975609756109</v>
      </c>
    </row>
    <row r="37" spans="1:28" x14ac:dyDescent="0.3">
      <c r="A37" s="89" t="s">
        <v>55</v>
      </c>
      <c r="B37" s="89" t="s">
        <v>18</v>
      </c>
      <c r="C37" s="89" t="s">
        <v>19</v>
      </c>
      <c r="D37" s="99">
        <v>6</v>
      </c>
      <c r="E37" s="90" t="s">
        <v>47</v>
      </c>
      <c r="F37" s="90" t="s">
        <v>84</v>
      </c>
      <c r="G37" s="89" t="s">
        <v>32</v>
      </c>
      <c r="H37" s="89">
        <v>36</v>
      </c>
      <c r="I37" s="91">
        <v>1</v>
      </c>
      <c r="J37" s="91">
        <v>9.9900000000000003E-2</v>
      </c>
      <c r="K37" s="91">
        <v>-9.9599999999999994E-2</v>
      </c>
      <c r="L37" s="91">
        <v>-8.2000000000000007E-3</v>
      </c>
      <c r="M37" s="91">
        <v>2.3599999999999999E-2</v>
      </c>
      <c r="N37" s="91">
        <v>-3.1800000000000002E-2</v>
      </c>
      <c r="O37" s="91">
        <v>3.2300000000000002E-2</v>
      </c>
      <c r="P37" s="91">
        <v>3.3300000000000003E-2</v>
      </c>
      <c r="Q37" s="92" t="s">
        <v>30</v>
      </c>
      <c r="R37" s="89" t="s">
        <v>37</v>
      </c>
      <c r="S37" s="89">
        <v>13</v>
      </c>
      <c r="T37" s="92">
        <v>27</v>
      </c>
      <c r="U37" s="104"/>
      <c r="V37" s="97">
        <v>1.2489999999999999E-3</v>
      </c>
      <c r="W37" s="97">
        <v>1.034E-3</v>
      </c>
      <c r="X37" s="97">
        <f>(Table1[[#This Row],[V_2023]]-Table1[[#This Row],[V_2022]])/Table1[[#This Row],[V_2022]]</f>
        <v>-0.17213771016813445</v>
      </c>
      <c r="Y37" s="97">
        <v>8.2400000000000001E-2</v>
      </c>
      <c r="Z37" s="97">
        <v>6.9699999999999998E-2</v>
      </c>
      <c r="AA37" s="97">
        <f>(Table1[[#This Row],[SA_2023]]-Table1[[#This Row],[SA_2022]])/Table1[[#This Row],[SA_2022]]</f>
        <v>-0.15412621359223305</v>
      </c>
    </row>
    <row r="38" spans="1:28" x14ac:dyDescent="0.3">
      <c r="A38" s="89" t="s">
        <v>56</v>
      </c>
      <c r="B38" s="89" t="s">
        <v>18</v>
      </c>
      <c r="C38" s="89" t="s">
        <v>57</v>
      </c>
      <c r="D38" s="99">
        <v>7</v>
      </c>
      <c r="E38" s="90" t="s">
        <v>20</v>
      </c>
      <c r="F38" s="90" t="s">
        <v>83</v>
      </c>
      <c r="G38" s="89" t="s">
        <v>32</v>
      </c>
      <c r="H38" s="89">
        <v>37</v>
      </c>
      <c r="I38" s="91">
        <v>1</v>
      </c>
      <c r="J38" s="91">
        <v>9.9699999999999997E-2</v>
      </c>
      <c r="K38" s="91">
        <v>-9.98E-2</v>
      </c>
      <c r="L38" s="91">
        <v>1.49E-2</v>
      </c>
      <c r="M38" s="91">
        <v>4.0500000000000001E-2</v>
      </c>
      <c r="N38" s="91">
        <v>-4.2900000000000001E-2</v>
      </c>
      <c r="O38" s="91">
        <v>4.3400000000000001E-2</v>
      </c>
      <c r="P38" s="91">
        <v>4.5900000000000003E-2</v>
      </c>
      <c r="Q38" s="92" t="s">
        <v>23</v>
      </c>
      <c r="R38" s="89" t="s">
        <v>48</v>
      </c>
      <c r="S38" s="89">
        <v>14</v>
      </c>
      <c r="T38" s="92">
        <v>15</v>
      </c>
      <c r="U38" s="104"/>
      <c r="V38" s="97">
        <v>1.4456999999999999E-2</v>
      </c>
      <c r="W38" s="97">
        <v>1.3453E-2</v>
      </c>
      <c r="X38" s="97">
        <f>(Table1[[#This Row],[V_2023]]-Table1[[#This Row],[V_2022]])/Table1[[#This Row],[V_2022]]</f>
        <v>-6.9447326554610209E-2</v>
      </c>
      <c r="Y38" s="97">
        <v>0.48270000000000002</v>
      </c>
      <c r="Z38" s="97">
        <v>0.42959999999999998</v>
      </c>
      <c r="AA38" s="97">
        <f>(Table1[[#This Row],[SA_2023]]-Table1[[#This Row],[SA_2022]])/Table1[[#This Row],[SA_2022]]</f>
        <v>-0.11000621504039783</v>
      </c>
    </row>
    <row r="39" spans="1:28" x14ac:dyDescent="0.3">
      <c r="A39" s="89" t="s">
        <v>56</v>
      </c>
      <c r="B39" s="89" t="s">
        <v>18</v>
      </c>
      <c r="C39" s="89" t="s">
        <v>57</v>
      </c>
      <c r="D39" s="99">
        <v>7</v>
      </c>
      <c r="E39" s="90" t="s">
        <v>20</v>
      </c>
      <c r="F39" s="90" t="s">
        <v>83</v>
      </c>
      <c r="G39" s="89" t="s">
        <v>32</v>
      </c>
      <c r="H39" s="89">
        <v>38</v>
      </c>
      <c r="I39" s="91">
        <v>1</v>
      </c>
      <c r="J39" s="91">
        <v>9.98E-2</v>
      </c>
      <c r="K39" s="91">
        <v>-9.9500000000000005E-2</v>
      </c>
      <c r="L39" s="91">
        <v>9.7999999999999997E-3</v>
      </c>
      <c r="M39" s="91">
        <v>2.64E-2</v>
      </c>
      <c r="N39" s="91">
        <v>-3.5200000000000002E-2</v>
      </c>
      <c r="O39" s="91">
        <v>3.2500000000000001E-2</v>
      </c>
      <c r="P39" s="91">
        <v>3.39E-2</v>
      </c>
      <c r="Q39" s="92" t="s">
        <v>27</v>
      </c>
      <c r="R39" s="89" t="s">
        <v>58</v>
      </c>
      <c r="S39" s="89">
        <v>25</v>
      </c>
      <c r="T39" s="92">
        <v>28</v>
      </c>
      <c r="U39" s="104"/>
      <c r="V39" s="97">
        <v>2.7920000000000002E-3</v>
      </c>
      <c r="W39" s="97">
        <v>2.8639999999999998E-3</v>
      </c>
      <c r="X39" s="97">
        <f>(Table1[[#This Row],[V_2023]]-Table1[[#This Row],[V_2022]])/Table1[[#This Row],[V_2022]]</f>
        <v>2.5787965616045693E-2</v>
      </c>
      <c r="Y39" s="97">
        <v>0.1709</v>
      </c>
      <c r="Z39" s="97">
        <v>0.1537</v>
      </c>
      <c r="AA39" s="97">
        <f>(Table1[[#This Row],[SA_2023]]-Table1[[#This Row],[SA_2022]])/Table1[[#This Row],[SA_2022]]</f>
        <v>-0.1006436512580456</v>
      </c>
    </row>
    <row r="40" spans="1:28" x14ac:dyDescent="0.3">
      <c r="A40" s="89" t="s">
        <v>56</v>
      </c>
      <c r="B40" s="89" t="s">
        <v>18</v>
      </c>
      <c r="C40" s="89" t="s">
        <v>57</v>
      </c>
      <c r="D40" s="99">
        <v>7</v>
      </c>
      <c r="E40" s="90" t="s">
        <v>20</v>
      </c>
      <c r="F40" s="90" t="s">
        <v>83</v>
      </c>
      <c r="G40" s="89" t="s">
        <v>32</v>
      </c>
      <c r="H40" s="89">
        <v>39</v>
      </c>
      <c r="I40" s="91">
        <v>45</v>
      </c>
      <c r="J40" s="91">
        <v>2.6499999999999999E-2</v>
      </c>
      <c r="K40" s="91">
        <v>-2.6499999999999999E-2</v>
      </c>
      <c r="L40" s="91">
        <v>6.1000000000000004E-3</v>
      </c>
      <c r="M40" s="91">
        <v>9.7000000000000003E-3</v>
      </c>
      <c r="N40" s="91">
        <v>-9.1999999999999998E-3</v>
      </c>
      <c r="O40" s="91">
        <v>9.1000000000000004E-3</v>
      </c>
      <c r="P40" s="91">
        <v>1.0999999999999999E-2</v>
      </c>
      <c r="Q40" s="92" t="s">
        <v>23</v>
      </c>
      <c r="R40" s="89" t="s">
        <v>22</v>
      </c>
      <c r="S40" s="89">
        <v>52</v>
      </c>
      <c r="T40" s="92">
        <v>61</v>
      </c>
      <c r="U40" s="104"/>
      <c r="V40" s="97">
        <v>1.3365999999999999E-2</v>
      </c>
      <c r="W40" s="97">
        <v>4.5760000000000002E-3</v>
      </c>
      <c r="X40" s="97">
        <f>(Table1[[#This Row],[V_2023]]-Table1[[#This Row],[V_2022]])/Table1[[#This Row],[V_2022]]</f>
        <v>-0.65763878497680683</v>
      </c>
      <c r="Y40" s="97">
        <v>0.47520000000000001</v>
      </c>
      <c r="Z40" s="97">
        <v>0.48060000000000003</v>
      </c>
      <c r="AA40" s="97">
        <f>(Table1[[#This Row],[SA_2023]]-Table1[[#This Row],[SA_2022]])/Table1[[#This Row],[SA_2022]]</f>
        <v>1.1363636363636397E-2</v>
      </c>
      <c r="AB40" t="s">
        <v>24</v>
      </c>
    </row>
    <row r="41" spans="1:28" x14ac:dyDescent="0.3">
      <c r="A41" s="89" t="s">
        <v>56</v>
      </c>
      <c r="B41" s="89" t="s">
        <v>18</v>
      </c>
      <c r="C41" s="89" t="s">
        <v>57</v>
      </c>
      <c r="D41" s="99">
        <v>7</v>
      </c>
      <c r="E41" s="90" t="s">
        <v>20</v>
      </c>
      <c r="F41" s="90" t="s">
        <v>83</v>
      </c>
      <c r="G41" s="89" t="s">
        <v>32</v>
      </c>
      <c r="H41" s="89">
        <v>40</v>
      </c>
      <c r="I41" s="91">
        <v>45</v>
      </c>
      <c r="J41" s="91">
        <v>2.87E-2</v>
      </c>
      <c r="K41" s="91">
        <v>-2.87E-2</v>
      </c>
      <c r="L41" s="91">
        <v>4.4000000000000003E-3</v>
      </c>
      <c r="M41" s="91">
        <v>1.06E-2</v>
      </c>
      <c r="N41" s="91">
        <v>-8.5000000000000006E-3</v>
      </c>
      <c r="O41" s="91">
        <v>1.12E-2</v>
      </c>
      <c r="P41" s="91">
        <v>1.2E-2</v>
      </c>
      <c r="Q41" s="92" t="s">
        <v>23</v>
      </c>
      <c r="R41" s="89" t="s">
        <v>59</v>
      </c>
      <c r="S41" s="89">
        <v>63</v>
      </c>
      <c r="T41" s="92">
        <v>80</v>
      </c>
      <c r="U41" s="104"/>
      <c r="V41" s="97">
        <v>2.7352000000000001E-2</v>
      </c>
      <c r="W41" s="97">
        <v>4.5774000000000002E-2</v>
      </c>
      <c r="X41" s="97">
        <f>(Table1[[#This Row],[V_2023]]-Table1[[#This Row],[V_2022]])/Table1[[#This Row],[V_2022]]</f>
        <v>0.67351564785024864</v>
      </c>
      <c r="Y41" s="97">
        <v>0.91769999999999996</v>
      </c>
      <c r="Z41" s="97">
        <v>0.96889999999999998</v>
      </c>
      <c r="AA41" s="97">
        <f>(Table1[[#This Row],[SA_2023]]-Table1[[#This Row],[SA_2022]])/Table1[[#This Row],[SA_2022]]</f>
        <v>5.5791653045657648E-2</v>
      </c>
    </row>
    <row r="42" spans="1:28" x14ac:dyDescent="0.3">
      <c r="A42" s="89" t="s">
        <v>56</v>
      </c>
      <c r="B42" s="89" t="s">
        <v>18</v>
      </c>
      <c r="C42" s="89" t="s">
        <v>57</v>
      </c>
      <c r="D42" s="99">
        <v>7</v>
      </c>
      <c r="E42" s="90" t="s">
        <v>20</v>
      </c>
      <c r="F42" s="90" t="s">
        <v>83</v>
      </c>
      <c r="G42" s="89" t="s">
        <v>32</v>
      </c>
      <c r="H42" s="89">
        <v>41</v>
      </c>
      <c r="I42" s="91">
        <v>45</v>
      </c>
      <c r="J42" s="91">
        <v>0.14099999999999999</v>
      </c>
      <c r="K42" s="91">
        <v>-0.14099999999999999</v>
      </c>
      <c r="L42" s="91">
        <v>3.8999999999999998E-3</v>
      </c>
      <c r="M42" s="91">
        <v>4.8300000000000003E-2</v>
      </c>
      <c r="N42" s="91">
        <v>-4.7899999999999998E-2</v>
      </c>
      <c r="O42" s="91">
        <v>5.7200000000000001E-2</v>
      </c>
      <c r="P42" s="91">
        <v>5.7299999999999997E-2</v>
      </c>
      <c r="Q42" s="92" t="s">
        <v>23</v>
      </c>
      <c r="R42" s="89" t="s">
        <v>22</v>
      </c>
      <c r="S42" s="89">
        <v>94</v>
      </c>
      <c r="T42" s="92">
        <v>122</v>
      </c>
      <c r="U42" s="104"/>
      <c r="V42" s="97">
        <v>5.153861</v>
      </c>
      <c r="W42" s="97">
        <v>3.0327229999999998</v>
      </c>
      <c r="X42" s="97">
        <f>(Table1[[#This Row],[V_2023]]-Table1[[#This Row],[V_2022]])/Table1[[#This Row],[V_2022]]</f>
        <v>-0.4115629040053661</v>
      </c>
      <c r="Y42" s="97">
        <v>24.553599999999999</v>
      </c>
      <c r="Z42" s="97">
        <v>20.073</v>
      </c>
      <c r="AA42" s="97">
        <f>(Table1[[#This Row],[SA_2023]]-Table1[[#This Row],[SA_2022]])/Table1[[#This Row],[SA_2022]]</f>
        <v>-0.18248240583865499</v>
      </c>
    </row>
    <row r="43" spans="1:28" x14ac:dyDescent="0.3">
      <c r="A43" s="89" t="s">
        <v>60</v>
      </c>
      <c r="B43" s="89" t="s">
        <v>18</v>
      </c>
      <c r="C43" s="89" t="s">
        <v>57</v>
      </c>
      <c r="D43" s="99">
        <v>7</v>
      </c>
      <c r="E43" s="90" t="s">
        <v>20</v>
      </c>
      <c r="F43" s="90" t="s">
        <v>83</v>
      </c>
      <c r="G43" s="89" t="s">
        <v>32</v>
      </c>
      <c r="H43" s="89">
        <v>42</v>
      </c>
      <c r="I43" s="91">
        <v>45</v>
      </c>
      <c r="J43" s="91">
        <v>0.1159</v>
      </c>
      <c r="K43" s="91">
        <v>-0.1158</v>
      </c>
      <c r="L43" s="91">
        <v>2.46E-2</v>
      </c>
      <c r="M43" s="91">
        <v>2.87E-2</v>
      </c>
      <c r="N43" s="91">
        <v>-1.7500000000000002E-2</v>
      </c>
      <c r="O43" s="91">
        <v>2.3300000000000001E-2</v>
      </c>
      <c r="P43" s="91">
        <v>3.3799999999999997E-2</v>
      </c>
      <c r="Q43" s="92" t="s">
        <v>27</v>
      </c>
      <c r="R43" s="89" t="s">
        <v>26</v>
      </c>
      <c r="S43" s="89">
        <v>3</v>
      </c>
      <c r="T43" s="92">
        <v>8</v>
      </c>
      <c r="U43" s="102">
        <v>9</v>
      </c>
      <c r="V43" s="97">
        <v>0.33315499999999998</v>
      </c>
      <c r="W43" s="97">
        <v>0.47400100000000001</v>
      </c>
      <c r="X43" s="97">
        <f>(Table1[[#This Row],[V_2023]]-Table1[[#This Row],[V_2022]])/Table1[[#This Row],[V_2022]]</f>
        <v>0.42276417883567718</v>
      </c>
      <c r="Y43" s="97">
        <v>10.6907</v>
      </c>
      <c r="Z43" s="97">
        <v>8.7196999999999996</v>
      </c>
      <c r="AA43" s="97">
        <f>(Table1[[#This Row],[SA_2023]]-Table1[[#This Row],[SA_2022]])/Table1[[#This Row],[SA_2022]]</f>
        <v>-0.18436585069265812</v>
      </c>
    </row>
    <row r="44" spans="1:28" x14ac:dyDescent="0.3">
      <c r="A44" s="89" t="s">
        <v>61</v>
      </c>
      <c r="B44" s="89" t="s">
        <v>18</v>
      </c>
      <c r="C44" s="89" t="s">
        <v>57</v>
      </c>
      <c r="D44" s="99">
        <v>8</v>
      </c>
      <c r="E44" s="90" t="s">
        <v>62</v>
      </c>
      <c r="F44" s="90" t="s">
        <v>85</v>
      </c>
      <c r="G44" s="89" t="s">
        <v>32</v>
      </c>
      <c r="H44" s="89">
        <v>43</v>
      </c>
      <c r="I44" s="91">
        <v>5</v>
      </c>
      <c r="J44" s="91">
        <v>0.05</v>
      </c>
      <c r="K44" s="91">
        <v>-0.05</v>
      </c>
      <c r="L44" s="91">
        <v>3.7000000000000002E-3</v>
      </c>
      <c r="M44" s="91">
        <v>2.07E-2</v>
      </c>
      <c r="N44" s="91">
        <v>-2.0799999999999999E-2</v>
      </c>
      <c r="O44" s="91">
        <v>2.2800000000000001E-2</v>
      </c>
      <c r="P44" s="91">
        <v>2.3099999999999999E-2</v>
      </c>
      <c r="Q44" s="92" t="s">
        <v>23</v>
      </c>
      <c r="R44" s="89" t="s">
        <v>22</v>
      </c>
      <c r="S44" s="89">
        <v>34</v>
      </c>
      <c r="T44" s="92">
        <v>36</v>
      </c>
      <c r="U44" s="104"/>
      <c r="V44" s="97">
        <v>3.0381999999999999E-2</v>
      </c>
      <c r="W44" s="97">
        <v>2.0070999999999999E-2</v>
      </c>
      <c r="X44" s="97">
        <f>(Table1[[#This Row],[V_2023]]-Table1[[#This Row],[V_2022]])/Table1[[#This Row],[V_2022]]</f>
        <v>-0.33937857942202621</v>
      </c>
      <c r="Y44" s="97">
        <v>0.70399999999999996</v>
      </c>
      <c r="Z44" s="97">
        <v>0.47299999999999998</v>
      </c>
      <c r="AA44" s="97">
        <f>(Table1[[#This Row],[SA_2023]]-Table1[[#This Row],[SA_2022]])/Table1[[#This Row],[SA_2022]]</f>
        <v>-0.328125</v>
      </c>
    </row>
    <row r="45" spans="1:28" x14ac:dyDescent="0.3">
      <c r="A45" s="89" t="s">
        <v>61</v>
      </c>
      <c r="B45" s="89" t="s">
        <v>18</v>
      </c>
      <c r="C45" s="89" t="s">
        <v>57</v>
      </c>
      <c r="D45" s="99">
        <v>8</v>
      </c>
      <c r="E45" s="90" t="s">
        <v>62</v>
      </c>
      <c r="F45" s="90" t="s">
        <v>85</v>
      </c>
      <c r="G45" s="89" t="s">
        <v>32</v>
      </c>
      <c r="H45" s="89">
        <v>44</v>
      </c>
      <c r="I45" s="91">
        <v>5</v>
      </c>
      <c r="J45" s="91">
        <v>0.05</v>
      </c>
      <c r="K45" s="91">
        <v>-0.05</v>
      </c>
      <c r="L45" s="91">
        <v>-2.9999999999999997E-4</v>
      </c>
      <c r="M45" s="91">
        <v>2.1000000000000001E-2</v>
      </c>
      <c r="N45" s="91">
        <v>-2.1600000000000001E-2</v>
      </c>
      <c r="O45" s="91">
        <v>2.41E-2</v>
      </c>
      <c r="P45" s="91">
        <v>2.41E-2</v>
      </c>
      <c r="Q45" s="92" t="s">
        <v>23</v>
      </c>
      <c r="R45" s="89" t="s">
        <v>22</v>
      </c>
      <c r="S45" s="89">
        <v>59</v>
      </c>
      <c r="T45" s="92">
        <v>66</v>
      </c>
      <c r="U45" s="104"/>
      <c r="V45" s="97">
        <v>3.1930000000000001E-3</v>
      </c>
      <c r="W45" s="97">
        <v>2.9859999999999999E-3</v>
      </c>
      <c r="X45" s="97">
        <f>(Table1[[#This Row],[V_2023]]-Table1[[#This Row],[V_2022]])/Table1[[#This Row],[V_2022]]</f>
        <v>-6.4829314124647708E-2</v>
      </c>
      <c r="Y45" s="97">
        <v>0.28739999999999999</v>
      </c>
      <c r="Z45" s="97">
        <v>0.29820000000000002</v>
      </c>
      <c r="AA45" s="97">
        <f>(Table1[[#This Row],[SA_2023]]-Table1[[#This Row],[SA_2022]])/Table1[[#This Row],[SA_2022]]</f>
        <v>3.7578288100208877E-2</v>
      </c>
    </row>
    <row r="46" spans="1:28" x14ac:dyDescent="0.3">
      <c r="A46" s="89" t="s">
        <v>61</v>
      </c>
      <c r="B46" s="89" t="s">
        <v>18</v>
      </c>
      <c r="C46" s="89" t="s">
        <v>57</v>
      </c>
      <c r="D46" s="99">
        <v>8</v>
      </c>
      <c r="E46" s="90" t="s">
        <v>62</v>
      </c>
      <c r="F46" s="90" t="s">
        <v>85</v>
      </c>
      <c r="G46" s="89" t="s">
        <v>32</v>
      </c>
      <c r="H46" s="89">
        <v>45</v>
      </c>
      <c r="I46" s="91">
        <v>1</v>
      </c>
      <c r="J46" s="91">
        <v>0.1</v>
      </c>
      <c r="K46" s="91">
        <v>-0.1</v>
      </c>
      <c r="L46" s="91">
        <v>2.53E-2</v>
      </c>
      <c r="M46" s="91">
        <v>6.93E-2</v>
      </c>
      <c r="N46" s="91">
        <v>-6.4399999999999999E-2</v>
      </c>
      <c r="O46" s="91">
        <v>6.6299999999999998E-2</v>
      </c>
      <c r="P46" s="91">
        <v>7.0999999999999994E-2</v>
      </c>
      <c r="Q46" s="92" t="s">
        <v>23</v>
      </c>
      <c r="R46" s="89" t="s">
        <v>22</v>
      </c>
      <c r="S46" s="89">
        <v>40</v>
      </c>
      <c r="T46" s="92">
        <v>47</v>
      </c>
      <c r="U46" s="104"/>
      <c r="V46" s="97">
        <v>0.26861600000000002</v>
      </c>
      <c r="W46" s="97">
        <v>0.29382599999999998</v>
      </c>
      <c r="X46" s="97">
        <f>(Table1[[#This Row],[V_2023]]-Table1[[#This Row],[V_2022]])/Table1[[#This Row],[V_2022]]</f>
        <v>9.3851445930249702E-2</v>
      </c>
      <c r="Y46" s="97">
        <v>4.1672000000000002</v>
      </c>
      <c r="Z46" s="97">
        <v>4.3201999999999998</v>
      </c>
      <c r="AA46" s="97">
        <f>(Table1[[#This Row],[SA_2023]]-Table1[[#This Row],[SA_2022]])/Table1[[#This Row],[SA_2022]]</f>
        <v>3.6715300441543378E-2</v>
      </c>
    </row>
    <row r="47" spans="1:28" x14ac:dyDescent="0.3">
      <c r="A47" s="89" t="s">
        <v>63</v>
      </c>
      <c r="B47" s="89" t="s">
        <v>18</v>
      </c>
      <c r="C47" s="89" t="s">
        <v>57</v>
      </c>
      <c r="D47" s="99">
        <v>8</v>
      </c>
      <c r="E47" s="90" t="s">
        <v>62</v>
      </c>
      <c r="F47" s="90" t="s">
        <v>85</v>
      </c>
      <c r="G47" s="89" t="s">
        <v>32</v>
      </c>
      <c r="H47" s="89">
        <v>46</v>
      </c>
      <c r="I47" s="91">
        <v>45</v>
      </c>
      <c r="J47" s="91">
        <v>1.21E-2</v>
      </c>
      <c r="K47" s="91">
        <v>-1.1900000000000001E-2</v>
      </c>
      <c r="L47" s="91">
        <v>2.5999999999999999E-3</v>
      </c>
      <c r="M47" s="91">
        <v>4.8999999999999998E-3</v>
      </c>
      <c r="N47" s="91">
        <v>-3.3E-3</v>
      </c>
      <c r="O47" s="91">
        <v>4.5999999999999999E-3</v>
      </c>
      <c r="P47" s="91">
        <v>5.1999999999999998E-3</v>
      </c>
      <c r="Q47" s="92" t="s">
        <v>23</v>
      </c>
      <c r="R47" s="89" t="s">
        <v>22</v>
      </c>
      <c r="S47" s="89">
        <v>26</v>
      </c>
      <c r="T47" s="92">
        <v>30</v>
      </c>
      <c r="U47" s="102">
        <v>30</v>
      </c>
      <c r="V47" s="97">
        <v>2.8119999999999998E-3</v>
      </c>
      <c r="W47" s="97">
        <v>3.1099999999999999E-3</v>
      </c>
      <c r="X47" s="97">
        <f>(Table1[[#This Row],[V_2023]]-Table1[[#This Row],[V_2022]])/Table1[[#This Row],[V_2022]]</f>
        <v>0.1059743954480797</v>
      </c>
      <c r="Y47" s="97">
        <v>0.1474</v>
      </c>
      <c r="Z47" s="97">
        <v>0.14330000000000001</v>
      </c>
      <c r="AA47" s="97">
        <f>(Table1[[#This Row],[SA_2023]]-Table1[[#This Row],[SA_2022]])/Table1[[#This Row],[SA_2022]]</f>
        <v>-2.7815468113975526E-2</v>
      </c>
    </row>
    <row r="48" spans="1:28" x14ac:dyDescent="0.3">
      <c r="A48" s="89" t="s">
        <v>63</v>
      </c>
      <c r="B48" s="89" t="s">
        <v>18</v>
      </c>
      <c r="C48" s="89" t="s">
        <v>57</v>
      </c>
      <c r="D48" s="99">
        <v>8</v>
      </c>
      <c r="E48" s="90" t="s">
        <v>62</v>
      </c>
      <c r="F48" s="90" t="s">
        <v>85</v>
      </c>
      <c r="G48" s="89" t="s">
        <v>32</v>
      </c>
      <c r="H48" s="89">
        <v>47</v>
      </c>
      <c r="I48" s="91">
        <v>5</v>
      </c>
      <c r="J48" s="91">
        <v>4.9700000000000001E-2</v>
      </c>
      <c r="K48" s="91">
        <v>-0.05</v>
      </c>
      <c r="L48" s="91">
        <v>-5.9999999999999995E-4</v>
      </c>
      <c r="M48" s="91">
        <v>1.0699999999999999E-2</v>
      </c>
      <c r="N48" s="91">
        <v>-1.8200000000000001E-2</v>
      </c>
      <c r="O48" s="91">
        <v>1.5800000000000002E-2</v>
      </c>
      <c r="P48" s="91">
        <v>1.5800000000000002E-2</v>
      </c>
      <c r="Q48" s="92" t="s">
        <v>23</v>
      </c>
      <c r="R48" s="89" t="s">
        <v>22</v>
      </c>
      <c r="S48" s="89">
        <v>32</v>
      </c>
      <c r="T48" s="92">
        <v>36</v>
      </c>
      <c r="U48" s="102">
        <v>36</v>
      </c>
      <c r="V48" s="97">
        <v>4.6775899999999999E-4</v>
      </c>
      <c r="W48" s="97">
        <v>3.3999200000000001E-4</v>
      </c>
      <c r="X48" s="97">
        <f>(Table1[[#This Row],[V_2023]]-Table1[[#This Row],[V_2022]])/Table1[[#This Row],[V_2022]]</f>
        <v>-0.2731470693241605</v>
      </c>
      <c r="Y48" s="97">
        <v>7.4399999999999994E-2</v>
      </c>
      <c r="Z48" s="97">
        <v>9.1600000000000001E-2</v>
      </c>
      <c r="AA48" s="97">
        <f>(Table1[[#This Row],[SA_2023]]-Table1[[#This Row],[SA_2022]])/Table1[[#This Row],[SA_2022]]</f>
        <v>0.23118279569892483</v>
      </c>
    </row>
    <row r="49" spans="1:28" x14ac:dyDescent="0.3">
      <c r="A49" s="89" t="s">
        <v>63</v>
      </c>
      <c r="B49" s="89" t="s">
        <v>18</v>
      </c>
      <c r="C49" s="89" t="s">
        <v>57</v>
      </c>
      <c r="D49" s="99">
        <v>8</v>
      </c>
      <c r="E49" s="90" t="s">
        <v>62</v>
      </c>
      <c r="F49" s="90" t="s">
        <v>85</v>
      </c>
      <c r="G49" s="89" t="s">
        <v>32</v>
      </c>
      <c r="H49" s="89">
        <v>48</v>
      </c>
      <c r="I49" s="91">
        <v>1</v>
      </c>
      <c r="J49" s="91">
        <v>0.1</v>
      </c>
      <c r="K49" s="91">
        <v>-0.1</v>
      </c>
      <c r="L49" s="91">
        <v>1.9400000000000001E-2</v>
      </c>
      <c r="M49" s="91">
        <v>6.25E-2</v>
      </c>
      <c r="N49" s="91">
        <v>-6.0199999999999997E-2</v>
      </c>
      <c r="O49" s="91">
        <v>6.2300000000000001E-2</v>
      </c>
      <c r="P49" s="91">
        <v>6.5299999999999997E-2</v>
      </c>
      <c r="Q49" s="92" t="s">
        <v>23</v>
      </c>
      <c r="R49" s="89" t="s">
        <v>22</v>
      </c>
      <c r="S49" s="89">
        <v>34</v>
      </c>
      <c r="T49" s="92">
        <v>39</v>
      </c>
      <c r="U49" s="102">
        <v>39</v>
      </c>
      <c r="V49" s="97">
        <v>9.894E-2</v>
      </c>
      <c r="W49" s="97">
        <v>0.29536099999999998</v>
      </c>
      <c r="X49" s="97">
        <f>(Table1[[#This Row],[V_2023]]-Table1[[#This Row],[V_2022]])/Table1[[#This Row],[V_2022]]</f>
        <v>1.9852536891045076</v>
      </c>
      <c r="Y49" s="97">
        <v>4.4480000000000004</v>
      </c>
      <c r="Z49" s="97">
        <v>4.5486000000000004</v>
      </c>
      <c r="AA49" s="97">
        <f>(Table1[[#This Row],[SA_2023]]-Table1[[#This Row],[SA_2022]])/Table1[[#This Row],[SA_2022]]</f>
        <v>2.2616906474820148E-2</v>
      </c>
      <c r="AB49" t="s">
        <v>64</v>
      </c>
    </row>
    <row r="50" spans="1:28" x14ac:dyDescent="0.3">
      <c r="A50" s="89" t="s">
        <v>65</v>
      </c>
      <c r="B50" s="89" t="s">
        <v>18</v>
      </c>
      <c r="C50" s="89" t="s">
        <v>57</v>
      </c>
      <c r="D50" s="99">
        <v>9</v>
      </c>
      <c r="E50" s="90" t="s">
        <v>66</v>
      </c>
      <c r="F50" s="90" t="s">
        <v>85</v>
      </c>
      <c r="G50" s="89" t="s">
        <v>32</v>
      </c>
      <c r="H50" s="89">
        <v>49</v>
      </c>
      <c r="I50" s="91">
        <v>45</v>
      </c>
      <c r="J50" s="91">
        <v>5.5899999999999998E-2</v>
      </c>
      <c r="K50" s="91">
        <v>-5.6000000000000001E-2</v>
      </c>
      <c r="L50" s="91">
        <v>-3.3E-3</v>
      </c>
      <c r="M50" s="91">
        <v>9.4000000000000004E-3</v>
      </c>
      <c r="N50" s="91">
        <v>-8.5000000000000006E-3</v>
      </c>
      <c r="O50" s="91">
        <v>1.04E-2</v>
      </c>
      <c r="P50" s="91">
        <v>1.09E-2</v>
      </c>
      <c r="Q50" s="92" t="s">
        <v>23</v>
      </c>
      <c r="R50" s="89" t="s">
        <v>67</v>
      </c>
      <c r="S50" s="89">
        <v>246</v>
      </c>
      <c r="T50" s="92">
        <v>276</v>
      </c>
      <c r="U50" s="104"/>
      <c r="V50" s="97">
        <v>2.3314999999999999E-2</v>
      </c>
      <c r="W50" s="97">
        <v>2.1974E-2</v>
      </c>
      <c r="X50" s="97">
        <f>(Table1[[#This Row],[V_2023]]-Table1[[#This Row],[V_2022]])/Table1[[#This Row],[V_2022]]</f>
        <v>-5.7516620201586897E-2</v>
      </c>
      <c r="Y50" s="97">
        <v>2.4853000000000001</v>
      </c>
      <c r="Z50" s="97">
        <v>1.9837</v>
      </c>
      <c r="AA50" s="97">
        <f>(Table1[[#This Row],[SA_2023]]-Table1[[#This Row],[SA_2022]])/Table1[[#This Row],[SA_2022]]</f>
        <v>-0.20182674123848229</v>
      </c>
    </row>
    <row r="51" spans="1:28" x14ac:dyDescent="0.3">
      <c r="A51" s="89" t="s">
        <v>68</v>
      </c>
      <c r="B51" s="89" t="s">
        <v>18</v>
      </c>
      <c r="C51" s="89" t="s">
        <v>57</v>
      </c>
      <c r="D51" s="99">
        <v>9</v>
      </c>
      <c r="E51" s="90" t="s">
        <v>66</v>
      </c>
      <c r="F51" s="90" t="s">
        <v>85</v>
      </c>
      <c r="G51" s="89" t="s">
        <v>32</v>
      </c>
      <c r="H51" s="89">
        <v>50</v>
      </c>
      <c r="I51" s="91">
        <v>45</v>
      </c>
      <c r="J51" s="91">
        <v>4.5600000000000002E-2</v>
      </c>
      <c r="K51" s="91">
        <v>-4.5600000000000002E-2</v>
      </c>
      <c r="L51" s="91">
        <v>-6.9999999999999999E-4</v>
      </c>
      <c r="M51" s="91">
        <v>8.3999999999999995E-3</v>
      </c>
      <c r="N51" s="91">
        <v>-9.4000000000000004E-3</v>
      </c>
      <c r="O51" s="91">
        <v>1.21E-2</v>
      </c>
      <c r="P51" s="91">
        <v>1.21E-2</v>
      </c>
      <c r="Q51" s="92" t="s">
        <v>27</v>
      </c>
      <c r="R51" s="89" t="s">
        <v>69</v>
      </c>
      <c r="S51" s="89">
        <v>181</v>
      </c>
      <c r="T51" s="92">
        <v>201</v>
      </c>
      <c r="U51" s="104"/>
      <c r="V51" s="97">
        <v>3.4431999999999997E-2</v>
      </c>
      <c r="W51" s="97">
        <v>2.5038999999999999E-2</v>
      </c>
      <c r="X51" s="97">
        <f>(Table1[[#This Row],[V_2023]]-Table1[[#This Row],[V_2022]])/Table1[[#This Row],[V_2022]]</f>
        <v>-0.27279855947955389</v>
      </c>
      <c r="Y51" s="97">
        <v>1.3120000000000001</v>
      </c>
      <c r="Z51" s="97">
        <v>1.1464000000000001</v>
      </c>
      <c r="AA51" s="97">
        <f>(Table1[[#This Row],[SA_2023]]-Table1[[#This Row],[SA_2022]])/Table1[[#This Row],[SA_2022]]</f>
        <v>-0.12621951219512192</v>
      </c>
    </row>
    <row r="52" spans="1:28" x14ac:dyDescent="0.3">
      <c r="A52" s="89" t="s">
        <v>68</v>
      </c>
      <c r="B52" s="89" t="s">
        <v>18</v>
      </c>
      <c r="C52" s="89" t="s">
        <v>57</v>
      </c>
      <c r="D52" s="99">
        <v>9</v>
      </c>
      <c r="E52" s="90" t="s">
        <v>66</v>
      </c>
      <c r="F52" s="90" t="s">
        <v>85</v>
      </c>
      <c r="G52" s="89" t="s">
        <v>32</v>
      </c>
      <c r="H52" s="89">
        <v>51</v>
      </c>
      <c r="I52" s="91">
        <v>45</v>
      </c>
      <c r="J52" s="91">
        <v>0.216</v>
      </c>
      <c r="K52" s="91">
        <v>-0.216</v>
      </c>
      <c r="L52" s="91">
        <v>1.03E-2</v>
      </c>
      <c r="M52" s="91">
        <v>2.3599999999999999E-2</v>
      </c>
      <c r="N52" s="91">
        <v>-1.7299999999999999E-2</v>
      </c>
      <c r="O52" s="91">
        <v>3.2899999999999999E-2</v>
      </c>
      <c r="P52" s="91">
        <v>3.4500000000000003E-2</v>
      </c>
      <c r="Q52" s="92" t="s">
        <v>27</v>
      </c>
      <c r="R52" s="89" t="s">
        <v>26</v>
      </c>
      <c r="S52" s="89">
        <v>192</v>
      </c>
      <c r="T52" s="92">
        <v>212</v>
      </c>
      <c r="U52" s="104"/>
      <c r="V52" s="97">
        <v>1.330163</v>
      </c>
      <c r="W52" s="97">
        <v>2.1633330000000002</v>
      </c>
      <c r="X52" s="97">
        <f>(Table1[[#This Row],[V_2023]]-Table1[[#This Row],[V_2022]])/Table1[[#This Row],[V_2022]]</f>
        <v>0.62636684376275709</v>
      </c>
      <c r="Y52" s="97">
        <v>26.738499999999998</v>
      </c>
      <c r="Z52" s="97">
        <v>28.414000000000001</v>
      </c>
      <c r="AA52" s="97">
        <f>(Table1[[#This Row],[SA_2023]]-Table1[[#This Row],[SA_2022]])/Table1[[#This Row],[SA_2022]]</f>
        <v>6.266245301718508E-2</v>
      </c>
    </row>
    <row r="53" spans="1:28" x14ac:dyDescent="0.3">
      <c r="A53" s="89" t="s">
        <v>70</v>
      </c>
      <c r="B53" s="89" t="s">
        <v>18</v>
      </c>
      <c r="C53" s="89" t="s">
        <v>57</v>
      </c>
      <c r="D53" s="99">
        <v>9</v>
      </c>
      <c r="E53" s="90" t="s">
        <v>66</v>
      </c>
      <c r="F53" s="90" t="s">
        <v>85</v>
      </c>
      <c r="G53" s="89" t="s">
        <v>32</v>
      </c>
      <c r="H53" s="89">
        <v>52</v>
      </c>
      <c r="I53" s="94">
        <v>1</v>
      </c>
      <c r="J53" s="94">
        <v>0.1</v>
      </c>
      <c r="K53" s="94">
        <v>-9.9599999999999994E-2</v>
      </c>
      <c r="L53" s="94">
        <v>4.4000000000000003E-3</v>
      </c>
      <c r="M53" s="94">
        <v>2.29E-2</v>
      </c>
      <c r="N53" s="94">
        <v>-3.5700000000000003E-2</v>
      </c>
      <c r="O53" s="94">
        <v>3.1E-2</v>
      </c>
      <c r="P53" s="94">
        <v>3.1300000000000001E-2</v>
      </c>
      <c r="Q53" s="92" t="s">
        <v>23</v>
      </c>
      <c r="R53" s="93" t="s">
        <v>48</v>
      </c>
      <c r="S53" s="93">
        <v>62</v>
      </c>
      <c r="T53" s="92">
        <v>106</v>
      </c>
      <c r="U53" s="104"/>
      <c r="V53" s="97">
        <v>9.6669499999999995E-4</v>
      </c>
      <c r="W53" s="97">
        <v>3.4005500000000002E-4</v>
      </c>
      <c r="X53" s="97">
        <f>(Table1[[#This Row],[V_2023]]-Table1[[#This Row],[V_2022]])/Table1[[#This Row],[V_2022]]</f>
        <v>-0.64822927603846092</v>
      </c>
      <c r="Y53" s="97">
        <v>0.13969999999999999</v>
      </c>
      <c r="Z53" s="97">
        <v>0.1779</v>
      </c>
      <c r="AA53" s="97">
        <f>(Table1[[#This Row],[SA_2023]]-Table1[[#This Row],[SA_2022]])/Table1[[#This Row],[SA_2022]]</f>
        <v>0.27344309234073022</v>
      </c>
    </row>
    <row r="54" spans="1:28" x14ac:dyDescent="0.3">
      <c r="A54" s="89" t="s">
        <v>71</v>
      </c>
      <c r="B54" s="89" t="s">
        <v>18</v>
      </c>
      <c r="C54" s="89" t="s">
        <v>57</v>
      </c>
      <c r="D54" s="99">
        <v>9</v>
      </c>
      <c r="E54" s="90" t="s">
        <v>66</v>
      </c>
      <c r="F54" s="90" t="s">
        <v>85</v>
      </c>
      <c r="G54" s="89" t="s">
        <v>32</v>
      </c>
      <c r="H54" s="89">
        <v>53</v>
      </c>
      <c r="I54" s="91">
        <v>45</v>
      </c>
      <c r="J54" s="91">
        <v>0.11799999999999999</v>
      </c>
      <c r="K54" s="91">
        <v>-0.11799999999999999</v>
      </c>
      <c r="L54" s="91">
        <v>2.5999999999999999E-3</v>
      </c>
      <c r="M54" s="91">
        <v>2.86E-2</v>
      </c>
      <c r="N54" s="91">
        <v>-2.8199999999999999E-2</v>
      </c>
      <c r="O54" s="91">
        <v>3.5799999999999998E-2</v>
      </c>
      <c r="P54" s="91">
        <v>3.5900000000000001E-2</v>
      </c>
      <c r="Q54" s="92" t="s">
        <v>27</v>
      </c>
      <c r="R54" s="89" t="s">
        <v>26</v>
      </c>
      <c r="S54" s="89">
        <v>1</v>
      </c>
      <c r="T54" s="92">
        <v>9</v>
      </c>
      <c r="U54" s="104"/>
      <c r="V54" s="97">
        <v>0.19250100000000001</v>
      </c>
      <c r="W54" s="97">
        <v>0.23157</v>
      </c>
      <c r="X54" s="97">
        <f>(Table1[[#This Row],[V_2023]]-Table1[[#This Row],[V_2022]])/Table1[[#This Row],[V_2022]]</f>
        <v>0.20295478984524751</v>
      </c>
      <c r="Y54" s="97">
        <v>8.0227199999999996</v>
      </c>
      <c r="Z54" s="97">
        <v>6.8289</v>
      </c>
      <c r="AA54" s="97">
        <f>(Table1[[#This Row],[SA_2023]]-Table1[[#This Row],[SA_2022]])/Table1[[#This Row],[SA_2022]]</f>
        <v>-0.14880489410075382</v>
      </c>
    </row>
    <row r="55" spans="1:28" x14ac:dyDescent="0.3">
      <c r="A55" s="89" t="s">
        <v>71</v>
      </c>
      <c r="B55" s="89" t="s">
        <v>18</v>
      </c>
      <c r="C55" s="89" t="s">
        <v>57</v>
      </c>
      <c r="D55" s="99">
        <v>9</v>
      </c>
      <c r="E55" s="90" t="s">
        <v>66</v>
      </c>
      <c r="F55" s="90" t="s">
        <v>85</v>
      </c>
      <c r="G55" s="89" t="s">
        <v>32</v>
      </c>
      <c r="H55" s="89">
        <v>54</v>
      </c>
      <c r="I55" s="91">
        <v>1</v>
      </c>
      <c r="J55" s="91">
        <v>0.1</v>
      </c>
      <c r="K55" s="91">
        <v>-0.1</v>
      </c>
      <c r="L55" s="91">
        <v>7.4999999999999997E-3</v>
      </c>
      <c r="M55" s="91">
        <v>2.8000000000000001E-2</v>
      </c>
      <c r="N55" s="91">
        <v>-2.9700000000000001E-2</v>
      </c>
      <c r="O55" s="91">
        <v>3.3099999999999997E-2</v>
      </c>
      <c r="P55" s="91">
        <v>3.4000000000000002E-2</v>
      </c>
      <c r="Q55" s="92" t="s">
        <v>27</v>
      </c>
      <c r="R55" s="89" t="s">
        <v>26</v>
      </c>
      <c r="S55" s="89">
        <v>25</v>
      </c>
      <c r="T55" s="92">
        <v>52</v>
      </c>
      <c r="U55" s="104"/>
      <c r="V55" s="97">
        <v>1.7798999999999999E-2</v>
      </c>
      <c r="W55" s="97">
        <v>2.0799999999999999E-2</v>
      </c>
      <c r="X55" s="97">
        <f>(Table1[[#This Row],[V_2023]]-Table1[[#This Row],[V_2022]])/Table1[[#This Row],[V_2022]]</f>
        <v>0.16860497780774203</v>
      </c>
      <c r="Y55" s="97">
        <v>1.7146999999999999</v>
      </c>
      <c r="Z55" s="97">
        <v>1.6944999999999999</v>
      </c>
      <c r="AA55" s="97">
        <f>(Table1[[#This Row],[SA_2023]]-Table1[[#This Row],[SA_2022]])/Table1[[#This Row],[SA_2022]]</f>
        <v>-1.1780486382457571E-2</v>
      </c>
    </row>
    <row r="56" spans="1:28" x14ac:dyDescent="0.3">
      <c r="A56" s="89" t="s">
        <v>72</v>
      </c>
      <c r="B56" s="89" t="s">
        <v>18</v>
      </c>
      <c r="C56" s="89" t="s">
        <v>57</v>
      </c>
      <c r="D56" s="99">
        <v>10</v>
      </c>
      <c r="E56" s="90" t="s">
        <v>73</v>
      </c>
      <c r="F56" s="90" t="s">
        <v>86</v>
      </c>
      <c r="G56" s="89" t="s">
        <v>32</v>
      </c>
      <c r="H56" s="89">
        <v>55</v>
      </c>
      <c r="I56" s="91">
        <v>1</v>
      </c>
      <c r="J56" s="91">
        <v>9.9699999999999997E-2</v>
      </c>
      <c r="K56" s="91">
        <v>-9.9900000000000003E-2</v>
      </c>
      <c r="L56" s="91">
        <v>-2.8E-3</v>
      </c>
      <c r="M56" s="91">
        <v>2.2100000000000002E-2</v>
      </c>
      <c r="N56" s="91">
        <v>-2.4299999999999999E-2</v>
      </c>
      <c r="O56" s="91">
        <v>2.8400000000000002E-2</v>
      </c>
      <c r="P56" s="91">
        <v>2.8500000000000001E-2</v>
      </c>
      <c r="Q56" s="92" t="s">
        <v>30</v>
      </c>
      <c r="R56" s="89" t="s">
        <v>29</v>
      </c>
      <c r="S56" s="89">
        <v>108</v>
      </c>
      <c r="T56" s="92">
        <v>117</v>
      </c>
      <c r="U56" s="102">
        <v>118</v>
      </c>
      <c r="V56" s="97">
        <v>5.0571800000000005E-4</v>
      </c>
      <c r="W56" s="97">
        <v>5.8623900000000001E-4</v>
      </c>
      <c r="X56" s="97">
        <f>(Table1[[#This Row],[V_2023]]-Table1[[#This Row],[V_2022]])/Table1[[#This Row],[V_2022]]</f>
        <v>0.15922114696332729</v>
      </c>
      <c r="Y56" s="97">
        <v>9.0800000000000006E-2</v>
      </c>
      <c r="Z56" s="97">
        <v>6.6600000000000006E-2</v>
      </c>
      <c r="AA56" s="97">
        <f>(Table1[[#This Row],[SA_2023]]-Table1[[#This Row],[SA_2022]])/Table1[[#This Row],[SA_2022]]</f>
        <v>-0.26651982378854622</v>
      </c>
      <c r="AB56" t="s">
        <v>64</v>
      </c>
    </row>
    <row r="57" spans="1:28" x14ac:dyDescent="0.3">
      <c r="A57" s="89" t="s">
        <v>74</v>
      </c>
      <c r="B57" s="89" t="s">
        <v>18</v>
      </c>
      <c r="C57" s="89" t="s">
        <v>57</v>
      </c>
      <c r="D57" s="99">
        <v>10</v>
      </c>
      <c r="E57" s="90" t="s">
        <v>73</v>
      </c>
      <c r="F57" s="90" t="s">
        <v>86</v>
      </c>
      <c r="G57" s="89" t="s">
        <v>32</v>
      </c>
      <c r="H57" s="89">
        <v>56</v>
      </c>
      <c r="I57" s="91">
        <v>45</v>
      </c>
      <c r="J57" s="91">
        <v>4.8599999999999997E-2</v>
      </c>
      <c r="K57" s="91">
        <v>-4.8599999999999997E-2</v>
      </c>
      <c r="L57" s="91">
        <v>-5.0000000000000001E-4</v>
      </c>
      <c r="M57" s="91">
        <v>2.3300000000000001E-2</v>
      </c>
      <c r="N57" s="91">
        <v>-2.4400000000000002E-2</v>
      </c>
      <c r="O57" s="91">
        <v>2.76E-2</v>
      </c>
      <c r="P57" s="91">
        <v>2.76E-2</v>
      </c>
      <c r="Q57" s="92" t="s">
        <v>40</v>
      </c>
      <c r="R57" s="89" t="s">
        <v>75</v>
      </c>
      <c r="S57" s="89">
        <v>5</v>
      </c>
      <c r="T57" s="92">
        <v>10</v>
      </c>
      <c r="U57" s="102">
        <v>10</v>
      </c>
      <c r="V57" s="97">
        <v>3.6417999999999999E-2</v>
      </c>
      <c r="W57" s="97">
        <v>8.0684000000000006E-2</v>
      </c>
      <c r="X57" s="97">
        <f>(Table1[[#This Row],[V_2023]]-Table1[[#This Row],[V_2022]])/Table1[[#This Row],[V_2022]]</f>
        <v>1.2154978307430393</v>
      </c>
      <c r="Y57" s="97">
        <v>1.948</v>
      </c>
      <c r="Z57" s="97">
        <v>1.2686999999999999</v>
      </c>
      <c r="AA57" s="97">
        <f>(Table1[[#This Row],[SA_2023]]-Table1[[#This Row],[SA_2022]])/Table1[[#This Row],[SA_2022]]</f>
        <v>-0.34871663244353185</v>
      </c>
      <c r="AB57" t="s">
        <v>64</v>
      </c>
    </row>
    <row r="58" spans="1:28" x14ac:dyDescent="0.3">
      <c r="A58" s="89" t="s">
        <v>74</v>
      </c>
      <c r="B58" s="89" t="s">
        <v>18</v>
      </c>
      <c r="C58" s="89" t="s">
        <v>57</v>
      </c>
      <c r="D58" s="99">
        <v>10</v>
      </c>
      <c r="E58" s="90" t="s">
        <v>73</v>
      </c>
      <c r="F58" s="90" t="s">
        <v>86</v>
      </c>
      <c r="G58" s="89" t="s">
        <v>32</v>
      </c>
      <c r="H58" s="89">
        <v>57</v>
      </c>
      <c r="I58" s="91">
        <v>45</v>
      </c>
      <c r="J58" s="91">
        <v>3.7100000000000001E-2</v>
      </c>
      <c r="K58" s="91">
        <v>-3.7199999999999997E-2</v>
      </c>
      <c r="L58" s="91">
        <v>2E-3</v>
      </c>
      <c r="M58" s="91">
        <v>1.35E-2</v>
      </c>
      <c r="N58" s="91">
        <v>-1.4999999999999999E-2</v>
      </c>
      <c r="O58" s="91">
        <v>1.6500000000000001E-2</v>
      </c>
      <c r="P58" s="91">
        <v>1.67E-2</v>
      </c>
      <c r="Q58" s="92" t="s">
        <v>23</v>
      </c>
      <c r="R58" s="89" t="s">
        <v>22</v>
      </c>
      <c r="S58" s="89">
        <v>3</v>
      </c>
      <c r="T58" s="92">
        <v>5</v>
      </c>
      <c r="U58" s="102">
        <v>5</v>
      </c>
      <c r="V58" s="97">
        <v>4.7174000000000001E-2</v>
      </c>
      <c r="W58" s="97">
        <v>3.0438E-2</v>
      </c>
      <c r="X58" s="97">
        <f>(Table1[[#This Row],[V_2023]]-Table1[[#This Row],[V_2022]])/Table1[[#This Row],[V_2022]]</f>
        <v>-0.35477169627337096</v>
      </c>
      <c r="Y58" s="97">
        <v>1.0488</v>
      </c>
      <c r="Z58" s="97">
        <v>0.87370000000000003</v>
      </c>
      <c r="AA58" s="97">
        <f>(Table1[[#This Row],[SA_2023]]-Table1[[#This Row],[SA_2022]])/Table1[[#This Row],[SA_2022]]</f>
        <v>-0.16695270785659794</v>
      </c>
    </row>
    <row r="59" spans="1:28" x14ac:dyDescent="0.3">
      <c r="A59" s="89" t="s">
        <v>76</v>
      </c>
      <c r="B59" s="89" t="s">
        <v>18</v>
      </c>
      <c r="C59" s="89" t="s">
        <v>57</v>
      </c>
      <c r="D59" s="99">
        <v>10</v>
      </c>
      <c r="E59" s="90" t="s">
        <v>73</v>
      </c>
      <c r="F59" s="90" t="s">
        <v>86</v>
      </c>
      <c r="G59" s="89" t="s">
        <v>32</v>
      </c>
      <c r="H59" s="89">
        <v>58</v>
      </c>
      <c r="I59" s="91">
        <v>1</v>
      </c>
      <c r="J59" s="91">
        <v>0.1</v>
      </c>
      <c r="K59" s="91">
        <v>-0.1</v>
      </c>
      <c r="L59" s="91">
        <v>-2.3E-3</v>
      </c>
      <c r="M59" s="91">
        <v>5.6000000000000001E-2</v>
      </c>
      <c r="N59" s="91">
        <v>-5.45E-2</v>
      </c>
      <c r="O59" s="91">
        <v>5.9700000000000003E-2</v>
      </c>
      <c r="P59" s="91">
        <v>5.9700000000000003E-2</v>
      </c>
      <c r="Q59" s="92" t="s">
        <v>23</v>
      </c>
      <c r="R59" s="89" t="s">
        <v>22</v>
      </c>
      <c r="S59" s="89">
        <v>10</v>
      </c>
      <c r="T59" s="92">
        <v>10</v>
      </c>
      <c r="U59" s="102">
        <v>10</v>
      </c>
      <c r="V59" s="97">
        <v>3.8443199999999997E-2</v>
      </c>
      <c r="W59" s="97">
        <v>4.5228999999999998E-2</v>
      </c>
      <c r="X59" s="97">
        <f>(Table1[[#This Row],[V_2023]]-Table1[[#This Row],[V_2022]])/Table1[[#This Row],[V_2022]]</f>
        <v>0.17651496233404093</v>
      </c>
      <c r="Y59" s="97">
        <v>0.95379999999999998</v>
      </c>
      <c r="Z59" s="97">
        <v>1.0046999999999999</v>
      </c>
      <c r="AA59" s="97">
        <f>(Table1[[#This Row],[SA_2023]]-Table1[[#This Row],[SA_2022]])/Table1[[#This Row],[SA_2022]]</f>
        <v>5.336548542671414E-2</v>
      </c>
    </row>
    <row r="60" spans="1:28" x14ac:dyDescent="0.3">
      <c r="A60" s="89" t="s">
        <v>76</v>
      </c>
      <c r="B60" s="89" t="s">
        <v>18</v>
      </c>
      <c r="C60" s="89" t="s">
        <v>57</v>
      </c>
      <c r="D60" s="99">
        <v>10</v>
      </c>
      <c r="E60" s="90" t="s">
        <v>73</v>
      </c>
      <c r="F60" s="90" t="s">
        <v>86</v>
      </c>
      <c r="G60" s="89" t="s">
        <v>32</v>
      </c>
      <c r="H60" s="89">
        <v>59</v>
      </c>
      <c r="I60" s="91">
        <v>1</v>
      </c>
      <c r="J60" s="91">
        <v>9.9900000000000003E-2</v>
      </c>
      <c r="K60" s="91">
        <v>-9.7500000000000003E-2</v>
      </c>
      <c r="L60" s="91">
        <v>4.3E-3</v>
      </c>
      <c r="M60" s="91">
        <v>1.8499999999999999E-2</v>
      </c>
      <c r="N60" s="91">
        <v>-1.9599999999999999E-2</v>
      </c>
      <c r="O60" s="91">
        <v>2.2200000000000001E-2</v>
      </c>
      <c r="P60" s="91">
        <v>2.2599999999999999E-2</v>
      </c>
      <c r="Q60" s="92" t="s">
        <v>23</v>
      </c>
      <c r="R60" s="89" t="s">
        <v>22</v>
      </c>
      <c r="S60" s="89">
        <v>16</v>
      </c>
      <c r="T60" s="92">
        <v>20</v>
      </c>
      <c r="U60" s="102">
        <v>21</v>
      </c>
      <c r="V60" s="97">
        <v>5.5593999999999999E-4</v>
      </c>
      <c r="W60" s="97">
        <v>8.4287399999999997E-4</v>
      </c>
      <c r="X60" s="97">
        <f>(Table1[[#This Row],[V_2023]]-Table1[[#This Row],[V_2022]])/Table1[[#This Row],[V_2022]]</f>
        <v>0.51612404216282326</v>
      </c>
      <c r="Y60" s="97">
        <v>7.2900000000000006E-2</v>
      </c>
      <c r="Z60" s="97">
        <v>6.9800000000000001E-2</v>
      </c>
      <c r="AA60" s="97">
        <f>(Table1[[#This Row],[SA_2023]]-Table1[[#This Row],[SA_2022]])/Table1[[#This Row],[SA_2022]]</f>
        <v>-4.2524005486968525E-2</v>
      </c>
    </row>
    <row r="61" spans="1:28" x14ac:dyDescent="0.3">
      <c r="A61" s="89" t="s">
        <v>76</v>
      </c>
      <c r="B61" s="89" t="s">
        <v>18</v>
      </c>
      <c r="C61" s="89" t="s">
        <v>57</v>
      </c>
      <c r="D61" s="99">
        <v>10</v>
      </c>
      <c r="E61" s="90" t="s">
        <v>73</v>
      </c>
      <c r="F61" s="90" t="s">
        <v>86</v>
      </c>
      <c r="G61" s="89" t="s">
        <v>32</v>
      </c>
      <c r="H61" s="89">
        <v>60</v>
      </c>
      <c r="I61" s="91">
        <v>5</v>
      </c>
      <c r="J61" s="91">
        <v>0.5</v>
      </c>
      <c r="K61" s="91">
        <v>-0.5</v>
      </c>
      <c r="L61" s="91">
        <v>1.5E-3</v>
      </c>
      <c r="M61" s="91">
        <v>1.78E-2</v>
      </c>
      <c r="N61" s="91">
        <v>-2.3199999999999998E-2</v>
      </c>
      <c r="O61" s="91">
        <v>2.24E-2</v>
      </c>
      <c r="P61" s="91">
        <v>2.2499999999999999E-2</v>
      </c>
      <c r="Q61" s="92" t="s">
        <v>23</v>
      </c>
      <c r="R61" s="89" t="s">
        <v>22</v>
      </c>
      <c r="S61" s="89">
        <v>25</v>
      </c>
      <c r="T61" s="92">
        <v>36</v>
      </c>
      <c r="U61" s="102">
        <v>35</v>
      </c>
      <c r="V61" s="97">
        <v>4.2747100000000001E-4</v>
      </c>
      <c r="W61" s="97">
        <v>7.6824100000000002E-4</v>
      </c>
      <c r="X61" s="97">
        <f>(Table1[[#This Row],[V_2023]]-Table1[[#This Row],[V_2022]])/Table1[[#This Row],[V_2022]]</f>
        <v>0.79717688451380331</v>
      </c>
      <c r="Y61" s="97">
        <v>4.3099999999999999E-2</v>
      </c>
      <c r="Z61" s="97">
        <v>8.2000000000000003E-2</v>
      </c>
      <c r="AA61" s="97">
        <f>(Table1[[#This Row],[SA_2023]]-Table1[[#This Row],[SA_2022]])/Table1[[#This Row],[SA_2022]]</f>
        <v>0.90255220417633419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7FA2-5711-4045-B9D3-4B30649FC16E}">
  <dimension ref="A1:R62"/>
  <sheetViews>
    <sheetView workbookViewId="0">
      <selection activeCell="S13" sqref="S13:S14"/>
    </sheetView>
  </sheetViews>
  <sheetFormatPr defaultRowHeight="14.4" x14ac:dyDescent="0.3"/>
  <cols>
    <col min="1" max="1" width="16.33203125" bestFit="1" customWidth="1"/>
    <col min="2" max="2" width="15.109375" bestFit="1" customWidth="1"/>
  </cols>
  <sheetData>
    <row r="1" spans="1:1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77</v>
      </c>
    </row>
    <row r="2" spans="1:18" x14ac:dyDescent="0.3">
      <c r="A2" s="3" t="s">
        <v>17</v>
      </c>
      <c r="B2" s="4" t="s">
        <v>18</v>
      </c>
      <c r="C2" s="4" t="s">
        <v>19</v>
      </c>
      <c r="D2" s="5" t="s">
        <v>20</v>
      </c>
      <c r="E2" s="6" t="s">
        <v>21</v>
      </c>
      <c r="F2" s="6" t="s">
        <v>22</v>
      </c>
      <c r="G2" s="7">
        <v>1</v>
      </c>
      <c r="H2" s="7">
        <v>0.1</v>
      </c>
      <c r="I2" s="7">
        <v>-0.1</v>
      </c>
      <c r="J2" s="7">
        <v>6.3E-3</v>
      </c>
      <c r="K2" s="7">
        <v>6.0900000000000003E-2</v>
      </c>
      <c r="L2" s="7">
        <v>-6.2100000000000002E-2</v>
      </c>
      <c r="M2" s="7">
        <v>6.4899999999999999E-2</v>
      </c>
      <c r="N2" s="7">
        <v>6.5299999999999997E-2</v>
      </c>
      <c r="O2" s="8" t="s">
        <v>23</v>
      </c>
      <c r="P2" s="73">
        <v>10</v>
      </c>
      <c r="Q2" s="8">
        <v>11</v>
      </c>
      <c r="R2" s="9"/>
    </row>
    <row r="3" spans="1:18" x14ac:dyDescent="0.3">
      <c r="A3" s="10" t="s">
        <v>25</v>
      </c>
      <c r="B3" s="11" t="s">
        <v>18</v>
      </c>
      <c r="C3" s="11" t="s">
        <v>19</v>
      </c>
      <c r="D3" s="12" t="s">
        <v>20</v>
      </c>
      <c r="E3" s="13" t="s">
        <v>21</v>
      </c>
      <c r="F3" s="13" t="s">
        <v>26</v>
      </c>
      <c r="G3" s="14">
        <v>1</v>
      </c>
      <c r="H3" s="14">
        <v>0.1</v>
      </c>
      <c r="I3" s="14">
        <v>0.1</v>
      </c>
      <c r="J3" s="14">
        <v>2.9100000000000001E-2</v>
      </c>
      <c r="K3" s="14">
        <v>5.5300000000000002E-2</v>
      </c>
      <c r="L3" s="14">
        <v>-0.06</v>
      </c>
      <c r="M3" s="14">
        <v>5.2999999999999999E-2</v>
      </c>
      <c r="N3" s="14">
        <v>6.0499999999999998E-2</v>
      </c>
      <c r="O3" s="15" t="s">
        <v>27</v>
      </c>
      <c r="P3" s="13">
        <v>8</v>
      </c>
      <c r="Q3" s="15">
        <v>9</v>
      </c>
      <c r="R3" s="16"/>
    </row>
    <row r="4" spans="1:18" x14ac:dyDescent="0.3">
      <c r="A4" s="17" t="s">
        <v>28</v>
      </c>
      <c r="B4" s="18" t="s">
        <v>18</v>
      </c>
      <c r="C4" s="18" t="s">
        <v>19</v>
      </c>
      <c r="D4" s="19" t="s">
        <v>20</v>
      </c>
      <c r="E4" s="20" t="s">
        <v>21</v>
      </c>
      <c r="F4" s="20" t="s">
        <v>22</v>
      </c>
      <c r="G4" s="21">
        <v>1</v>
      </c>
      <c r="H4" s="21">
        <v>0.1</v>
      </c>
      <c r="I4" s="21">
        <v>-0.1</v>
      </c>
      <c r="J4" s="21">
        <v>-4.8999999999999998E-3</v>
      </c>
      <c r="K4" s="21">
        <v>3.9600000000000003E-2</v>
      </c>
      <c r="L4" s="21">
        <v>-4.5699999999999998E-2</v>
      </c>
      <c r="M4" s="21">
        <v>4.8099999999999997E-2</v>
      </c>
      <c r="N4" s="21">
        <v>4.8399999999999999E-2</v>
      </c>
      <c r="O4" s="15" t="s">
        <v>23</v>
      </c>
      <c r="P4" s="13">
        <v>48</v>
      </c>
      <c r="Q4" s="15">
        <v>63</v>
      </c>
      <c r="R4" s="22"/>
    </row>
    <row r="5" spans="1:18" x14ac:dyDescent="0.3">
      <c r="A5" s="17" t="s">
        <v>28</v>
      </c>
      <c r="B5" s="18" t="s">
        <v>18</v>
      </c>
      <c r="C5" s="18" t="s">
        <v>19</v>
      </c>
      <c r="D5" s="19" t="s">
        <v>20</v>
      </c>
      <c r="E5" s="20" t="s">
        <v>21</v>
      </c>
      <c r="F5" s="20" t="s">
        <v>22</v>
      </c>
      <c r="G5" s="21">
        <v>45</v>
      </c>
      <c r="H5" s="21">
        <v>9.2999999999999999E-2</v>
      </c>
      <c r="I5" s="21">
        <v>-9.2999999999999999E-2</v>
      </c>
      <c r="J5" s="21">
        <v>7.6E-3</v>
      </c>
      <c r="K5" s="21">
        <v>4.2700000000000002E-2</v>
      </c>
      <c r="L5" s="21">
        <v>-3.9699999999999999E-2</v>
      </c>
      <c r="M5" s="21">
        <v>4.7500000000000001E-2</v>
      </c>
      <c r="N5" s="21">
        <v>4.8099999999999997E-2</v>
      </c>
      <c r="O5" s="15" t="s">
        <v>23</v>
      </c>
      <c r="P5" s="13">
        <v>37</v>
      </c>
      <c r="Q5" s="15">
        <v>52</v>
      </c>
      <c r="R5" s="22"/>
    </row>
    <row r="6" spans="1:18" x14ac:dyDescent="0.3">
      <c r="A6" s="17" t="s">
        <v>28</v>
      </c>
      <c r="B6" s="18" t="s">
        <v>18</v>
      </c>
      <c r="C6" s="18" t="s">
        <v>19</v>
      </c>
      <c r="D6" s="19" t="s">
        <v>20</v>
      </c>
      <c r="E6" s="20" t="s">
        <v>21</v>
      </c>
      <c r="F6" s="20" t="s">
        <v>29</v>
      </c>
      <c r="G6" s="21">
        <v>1</v>
      </c>
      <c r="H6" s="21">
        <v>0.1</v>
      </c>
      <c r="I6" s="21">
        <v>-0.1</v>
      </c>
      <c r="J6" s="21">
        <v>-7.1999999999999998E-3</v>
      </c>
      <c r="K6" s="21">
        <v>5.5300000000000002E-2</v>
      </c>
      <c r="L6" s="21">
        <v>-5.8999999999999997E-2</v>
      </c>
      <c r="M6" s="21">
        <v>6.08E-2</v>
      </c>
      <c r="N6" s="21">
        <v>6.13E-2</v>
      </c>
      <c r="O6" s="15" t="s">
        <v>30</v>
      </c>
      <c r="P6" s="13">
        <v>38</v>
      </c>
      <c r="Q6" s="15">
        <v>51</v>
      </c>
      <c r="R6" s="22"/>
    </row>
    <row r="7" spans="1:18" ht="15" thickBot="1" x14ac:dyDescent="0.35">
      <c r="A7" s="23" t="s">
        <v>28</v>
      </c>
      <c r="B7" s="24" t="s">
        <v>18</v>
      </c>
      <c r="C7" s="24" t="s">
        <v>19</v>
      </c>
      <c r="D7" s="25" t="s">
        <v>20</v>
      </c>
      <c r="E7" s="26" t="s">
        <v>21</v>
      </c>
      <c r="F7" s="26" t="s">
        <v>26</v>
      </c>
      <c r="G7" s="27">
        <v>1</v>
      </c>
      <c r="H7" s="27">
        <v>0.1</v>
      </c>
      <c r="I7" s="27">
        <v>-0.1</v>
      </c>
      <c r="J7" s="27">
        <v>-7.4000000000000003E-3</v>
      </c>
      <c r="K7" s="27">
        <v>5.79E-2</v>
      </c>
      <c r="L7" s="27">
        <v>-5.8599999999999999E-2</v>
      </c>
      <c r="M7" s="27">
        <v>6.25E-2</v>
      </c>
      <c r="N7" s="27">
        <v>6.2899999999999998E-2</v>
      </c>
      <c r="O7" s="28" t="s">
        <v>27</v>
      </c>
      <c r="P7" s="57">
        <v>54</v>
      </c>
      <c r="Q7" s="28">
        <v>70</v>
      </c>
      <c r="R7" s="29"/>
    </row>
    <row r="8" spans="1:18" x14ac:dyDescent="0.3">
      <c r="A8" s="30" t="s">
        <v>31</v>
      </c>
      <c r="B8" s="31" t="s">
        <v>18</v>
      </c>
      <c r="C8" s="31" t="s">
        <v>19</v>
      </c>
      <c r="D8" s="32" t="s">
        <v>20</v>
      </c>
      <c r="E8" s="33" t="s">
        <v>32</v>
      </c>
      <c r="F8" s="33" t="s">
        <v>22</v>
      </c>
      <c r="G8" s="34">
        <v>45</v>
      </c>
      <c r="H8" s="34">
        <v>0.108</v>
      </c>
      <c r="I8" s="34">
        <v>-0.108</v>
      </c>
      <c r="J8" s="34">
        <v>5.5999999999999999E-3</v>
      </c>
      <c r="K8" s="34">
        <v>3.1099999999999999E-2</v>
      </c>
      <c r="L8" s="34">
        <v>-2.3300000000000001E-2</v>
      </c>
      <c r="M8" s="34">
        <v>3.4299999999999997E-2</v>
      </c>
      <c r="N8" s="34">
        <v>3.4700000000000002E-2</v>
      </c>
      <c r="O8" s="8" t="s">
        <v>23</v>
      </c>
      <c r="P8" s="73">
        <v>68</v>
      </c>
      <c r="Q8" s="8">
        <v>105</v>
      </c>
      <c r="R8" s="35"/>
    </row>
    <row r="9" spans="1:18" x14ac:dyDescent="0.3">
      <c r="A9" s="36" t="s">
        <v>31</v>
      </c>
      <c r="B9" s="37" t="s">
        <v>18</v>
      </c>
      <c r="C9" s="37" t="s">
        <v>19</v>
      </c>
      <c r="D9" s="38" t="s">
        <v>20</v>
      </c>
      <c r="E9" s="39" t="s">
        <v>32</v>
      </c>
      <c r="F9" s="39" t="s">
        <v>22</v>
      </c>
      <c r="G9" s="40">
        <v>1</v>
      </c>
      <c r="H9" s="40">
        <v>9.98E-2</v>
      </c>
      <c r="I9" s="40">
        <v>-9.9699999999999997E-2</v>
      </c>
      <c r="J9" s="40">
        <v>2.8E-3</v>
      </c>
      <c r="K9" s="40">
        <v>2.7300000000000001E-2</v>
      </c>
      <c r="L9" s="40">
        <v>-2.81E-2</v>
      </c>
      <c r="M9" s="40">
        <v>3.1899999999999998E-2</v>
      </c>
      <c r="N9" s="40">
        <v>3.2000000000000001E-2</v>
      </c>
      <c r="O9" s="15" t="s">
        <v>23</v>
      </c>
      <c r="P9" s="13">
        <v>19</v>
      </c>
      <c r="Q9" s="15">
        <v>31</v>
      </c>
      <c r="R9" s="41"/>
    </row>
    <row r="10" spans="1:18" x14ac:dyDescent="0.3">
      <c r="A10" s="42" t="s">
        <v>33</v>
      </c>
      <c r="B10" s="43" t="s">
        <v>18</v>
      </c>
      <c r="C10" s="43" t="s">
        <v>19</v>
      </c>
      <c r="D10" s="44" t="s">
        <v>20</v>
      </c>
      <c r="E10" s="45" t="s">
        <v>32</v>
      </c>
      <c r="F10" s="45" t="s">
        <v>26</v>
      </c>
      <c r="G10" s="46">
        <v>1</v>
      </c>
      <c r="H10" s="46">
        <v>9.9900000000000003E-2</v>
      </c>
      <c r="I10" s="46">
        <v>-9.9900000000000003E-2</v>
      </c>
      <c r="J10" s="46">
        <v>-3.3500000000000002E-2</v>
      </c>
      <c r="K10" s="46">
        <v>6.2700000000000006E-2</v>
      </c>
      <c r="L10" s="46">
        <v>-3.7699999999999997E-2</v>
      </c>
      <c r="M10" s="46">
        <v>2.1309999999999999E-2</v>
      </c>
      <c r="N10" s="46">
        <v>4.07E-2</v>
      </c>
      <c r="O10" s="15" t="s">
        <v>27</v>
      </c>
      <c r="P10" s="13">
        <v>41</v>
      </c>
      <c r="Q10" s="15">
        <v>96</v>
      </c>
      <c r="R10" s="22"/>
    </row>
    <row r="11" spans="1:18" x14ac:dyDescent="0.3">
      <c r="A11" s="42" t="s">
        <v>33</v>
      </c>
      <c r="B11" s="43" t="s">
        <v>18</v>
      </c>
      <c r="C11" s="43" t="s">
        <v>19</v>
      </c>
      <c r="D11" s="44" t="s">
        <v>20</v>
      </c>
      <c r="E11" s="45" t="s">
        <v>32</v>
      </c>
      <c r="F11" s="45" t="s">
        <v>26</v>
      </c>
      <c r="G11" s="46">
        <v>45</v>
      </c>
      <c r="H11" s="46">
        <v>2.3599999999999999E-2</v>
      </c>
      <c r="I11" s="46">
        <v>-2.3599999999999999E-2</v>
      </c>
      <c r="J11" s="46">
        <v>3.2000000000000002E-3</v>
      </c>
      <c r="K11" s="46">
        <v>1.06E-2</v>
      </c>
      <c r="L11" s="46">
        <v>-9.1000000000000004E-3</v>
      </c>
      <c r="M11" s="46">
        <v>1.14E-2</v>
      </c>
      <c r="N11" s="46">
        <v>1.18E-2</v>
      </c>
      <c r="O11" s="15" t="s">
        <v>27</v>
      </c>
      <c r="P11" s="13">
        <v>17</v>
      </c>
      <c r="Q11" s="15">
        <v>51</v>
      </c>
      <c r="R11" s="22"/>
    </row>
    <row r="12" spans="1:18" x14ac:dyDescent="0.3">
      <c r="A12" s="10" t="s">
        <v>34</v>
      </c>
      <c r="B12" s="11" t="s">
        <v>18</v>
      </c>
      <c r="C12" s="11" t="s">
        <v>19</v>
      </c>
      <c r="D12" s="38" t="s">
        <v>20</v>
      </c>
      <c r="E12" s="39" t="s">
        <v>32</v>
      </c>
      <c r="F12" s="39" t="s">
        <v>22</v>
      </c>
      <c r="G12" s="40">
        <v>1</v>
      </c>
      <c r="H12" s="40">
        <v>0.1</v>
      </c>
      <c r="I12" s="40">
        <v>0.1</v>
      </c>
      <c r="J12" s="40">
        <v>5.1000000000000004E-3</v>
      </c>
      <c r="K12" s="40">
        <v>5.28E-2</v>
      </c>
      <c r="L12" s="40">
        <v>-5.4199999999999998E-2</v>
      </c>
      <c r="M12" s="40">
        <v>5.7200000000000001E-2</v>
      </c>
      <c r="N12" s="40">
        <v>5.74E-2</v>
      </c>
      <c r="O12" s="15" t="s">
        <v>23</v>
      </c>
      <c r="P12" s="13">
        <v>58</v>
      </c>
      <c r="Q12" s="15">
        <v>104</v>
      </c>
      <c r="R12" s="22"/>
    </row>
    <row r="13" spans="1:18" ht="15" thickBot="1" x14ac:dyDescent="0.35">
      <c r="A13" s="61" t="s">
        <v>34</v>
      </c>
      <c r="B13" s="62" t="s">
        <v>18</v>
      </c>
      <c r="C13" s="62" t="s">
        <v>19</v>
      </c>
      <c r="D13" s="63" t="s">
        <v>20</v>
      </c>
      <c r="E13" s="64" t="s">
        <v>32</v>
      </c>
      <c r="F13" s="64" t="s">
        <v>22</v>
      </c>
      <c r="G13" s="65">
        <v>1</v>
      </c>
      <c r="H13" s="65">
        <v>0.49919999999999998</v>
      </c>
      <c r="I13" s="65">
        <v>-0.4995</v>
      </c>
      <c r="J13" s="65">
        <v>-1.9900000000000001E-2</v>
      </c>
      <c r="K13" s="65">
        <v>0.1124</v>
      </c>
      <c r="L13" s="65">
        <v>-0.13400000000000001</v>
      </c>
      <c r="M13" s="65">
        <v>0.14699999999999999</v>
      </c>
      <c r="N13" s="65">
        <v>0.14410000000000001</v>
      </c>
      <c r="O13" s="66" t="s">
        <v>23</v>
      </c>
      <c r="P13" s="74">
        <v>6</v>
      </c>
      <c r="Q13" s="66">
        <v>10</v>
      </c>
      <c r="R13" s="67"/>
    </row>
    <row r="14" spans="1:18" x14ac:dyDescent="0.3">
      <c r="A14" s="3" t="s">
        <v>35</v>
      </c>
      <c r="B14" s="6" t="s">
        <v>18</v>
      </c>
      <c r="C14" s="6" t="s">
        <v>19</v>
      </c>
      <c r="D14" s="5" t="s">
        <v>36</v>
      </c>
      <c r="E14" s="6" t="s">
        <v>21</v>
      </c>
      <c r="F14" s="6" t="s">
        <v>37</v>
      </c>
      <c r="G14" s="7">
        <v>1</v>
      </c>
      <c r="H14" s="7">
        <v>0.1</v>
      </c>
      <c r="I14" s="7">
        <v>-0.1</v>
      </c>
      <c r="J14" s="7">
        <v>-6.0000000000000001E-3</v>
      </c>
      <c r="K14" s="7">
        <v>4.1000000000000002E-2</v>
      </c>
      <c r="L14" s="7">
        <v>-4.6100000000000002E-2</v>
      </c>
      <c r="M14" s="7">
        <v>4.8300000000000003E-2</v>
      </c>
      <c r="N14" s="7">
        <v>4.87E-2</v>
      </c>
      <c r="O14" s="8" t="s">
        <v>30</v>
      </c>
      <c r="P14" s="73">
        <v>64</v>
      </c>
      <c r="Q14" s="8">
        <v>73</v>
      </c>
      <c r="R14" s="35"/>
    </row>
    <row r="15" spans="1:18" x14ac:dyDescent="0.3">
      <c r="A15" s="10" t="s">
        <v>38</v>
      </c>
      <c r="B15" s="13" t="s">
        <v>18</v>
      </c>
      <c r="C15" s="13" t="s">
        <v>19</v>
      </c>
      <c r="D15" s="38" t="s">
        <v>36</v>
      </c>
      <c r="E15" s="39" t="s">
        <v>21</v>
      </c>
      <c r="F15" s="39" t="s">
        <v>39</v>
      </c>
      <c r="G15" s="40">
        <v>45</v>
      </c>
      <c r="H15" s="40">
        <v>1.24E-2</v>
      </c>
      <c r="I15" s="40">
        <v>-1.24E-2</v>
      </c>
      <c r="J15" s="40">
        <v>2.7000000000000001E-3</v>
      </c>
      <c r="K15" s="40">
        <v>5.3E-3</v>
      </c>
      <c r="L15" s="40">
        <v>-3.3999999999999998E-3</v>
      </c>
      <c r="M15" s="40">
        <v>5.0000000000000001E-3</v>
      </c>
      <c r="N15" s="40">
        <v>5.7000000000000002E-3</v>
      </c>
      <c r="O15" s="15" t="s">
        <v>30</v>
      </c>
      <c r="P15" s="13">
        <v>93</v>
      </c>
      <c r="Q15" s="15">
        <v>110</v>
      </c>
      <c r="R15" s="41"/>
    </row>
    <row r="16" spans="1:18" x14ac:dyDescent="0.3">
      <c r="A16" s="17" t="s">
        <v>41</v>
      </c>
      <c r="B16" s="20" t="s">
        <v>18</v>
      </c>
      <c r="C16" s="20" t="s">
        <v>19</v>
      </c>
      <c r="D16" s="19" t="s">
        <v>36</v>
      </c>
      <c r="E16" s="20" t="s">
        <v>21</v>
      </c>
      <c r="F16" s="20" t="s">
        <v>39</v>
      </c>
      <c r="G16" s="21">
        <v>45</v>
      </c>
      <c r="H16" s="21">
        <v>1.0999999999999999E-2</v>
      </c>
      <c r="I16" s="21">
        <v>-1.0999999999999999E-2</v>
      </c>
      <c r="J16" s="21">
        <v>-5.9999999999999995E-4</v>
      </c>
      <c r="K16" s="21">
        <v>4.8999999999999998E-3</v>
      </c>
      <c r="L16" s="21">
        <v>-5.1999999999999998E-3</v>
      </c>
      <c r="M16" s="21">
        <v>5.8999999999999999E-3</v>
      </c>
      <c r="N16" s="21">
        <v>5.8999999999999999E-3</v>
      </c>
      <c r="O16" s="15" t="s">
        <v>30</v>
      </c>
      <c r="P16" s="13">
        <v>5</v>
      </c>
      <c r="Q16" s="15">
        <v>7</v>
      </c>
      <c r="R16" s="41"/>
    </row>
    <row r="17" spans="1:18" x14ac:dyDescent="0.3">
      <c r="A17" s="17" t="s">
        <v>41</v>
      </c>
      <c r="B17" s="20" t="s">
        <v>18</v>
      </c>
      <c r="C17" s="20" t="s">
        <v>19</v>
      </c>
      <c r="D17" s="19" t="s">
        <v>36</v>
      </c>
      <c r="E17" s="20" t="s">
        <v>21</v>
      </c>
      <c r="F17" s="20" t="s">
        <v>26</v>
      </c>
      <c r="G17" s="21">
        <v>1</v>
      </c>
      <c r="H17" s="21">
        <v>9.98E-2</v>
      </c>
      <c r="I17" s="21">
        <v>-9.9900000000000003E-2</v>
      </c>
      <c r="J17" s="21">
        <v>-4.5999999999999999E-3</v>
      </c>
      <c r="K17" s="21">
        <v>4.1700000000000001E-2</v>
      </c>
      <c r="L17" s="21">
        <v>-5.0700000000000002E-2</v>
      </c>
      <c r="M17" s="21">
        <v>5.2600000000000001E-2</v>
      </c>
      <c r="N17" s="21">
        <v>5.28E-2</v>
      </c>
      <c r="O17" s="15" t="s">
        <v>27</v>
      </c>
      <c r="P17" s="13">
        <v>40</v>
      </c>
      <c r="Q17" s="15">
        <v>48</v>
      </c>
      <c r="R17" s="77"/>
    </row>
    <row r="18" spans="1:18" x14ac:dyDescent="0.3">
      <c r="A18" s="17" t="s">
        <v>41</v>
      </c>
      <c r="B18" s="20" t="s">
        <v>18</v>
      </c>
      <c r="C18" s="20" t="s">
        <v>19</v>
      </c>
      <c r="D18" s="19" t="s">
        <v>36</v>
      </c>
      <c r="E18" s="20" t="s">
        <v>21</v>
      </c>
      <c r="F18" s="20" t="s">
        <v>22</v>
      </c>
      <c r="G18" s="21">
        <v>5</v>
      </c>
      <c r="H18" s="21">
        <v>0.17799999999999999</v>
      </c>
      <c r="I18" s="21">
        <v>-0.17799999999999999</v>
      </c>
      <c r="J18" s="21">
        <v>1.9699999999999999E-2</v>
      </c>
      <c r="K18" s="21">
        <v>0.09</v>
      </c>
      <c r="L18" s="21">
        <v>-8.72E-2</v>
      </c>
      <c r="M18" s="21">
        <v>9.5899999999999999E-2</v>
      </c>
      <c r="N18" s="21">
        <v>9.7900000000000001E-2</v>
      </c>
      <c r="O18" s="15" t="s">
        <v>23</v>
      </c>
      <c r="P18" s="13">
        <v>51</v>
      </c>
      <c r="Q18" s="15">
        <v>63</v>
      </c>
      <c r="R18" s="22"/>
    </row>
    <row r="19" spans="1:18" ht="15" thickBot="1" x14ac:dyDescent="0.35">
      <c r="A19" s="23" t="s">
        <v>41</v>
      </c>
      <c r="B19" s="26" t="s">
        <v>18</v>
      </c>
      <c r="C19" s="26" t="s">
        <v>19</v>
      </c>
      <c r="D19" s="25" t="s">
        <v>36</v>
      </c>
      <c r="E19" s="26" t="s">
        <v>21</v>
      </c>
      <c r="F19" s="26" t="s">
        <v>37</v>
      </c>
      <c r="G19" s="27">
        <v>5</v>
      </c>
      <c r="H19" s="27">
        <v>0.05</v>
      </c>
      <c r="I19" s="27">
        <v>-0.05</v>
      </c>
      <c r="J19" s="27">
        <v>-6.1000000000000004E-3</v>
      </c>
      <c r="K19" s="27">
        <v>1.7100000000000001E-2</v>
      </c>
      <c r="L19" s="27">
        <v>-1.89E-2</v>
      </c>
      <c r="M19" s="27">
        <v>1.9699999999999999E-2</v>
      </c>
      <c r="N19" s="27">
        <v>2.06E-2</v>
      </c>
      <c r="O19" s="28" t="s">
        <v>30</v>
      </c>
      <c r="P19" s="57">
        <v>6</v>
      </c>
      <c r="Q19" s="28">
        <v>8</v>
      </c>
      <c r="R19" s="29"/>
    </row>
    <row r="20" spans="1:18" x14ac:dyDescent="0.3">
      <c r="A20" s="68" t="s">
        <v>42</v>
      </c>
      <c r="B20" s="69" t="s">
        <v>18</v>
      </c>
      <c r="C20" s="69" t="s">
        <v>19</v>
      </c>
      <c r="D20" s="59" t="s">
        <v>36</v>
      </c>
      <c r="E20" s="60" t="s">
        <v>32</v>
      </c>
      <c r="F20" s="60" t="s">
        <v>43</v>
      </c>
      <c r="G20" s="70">
        <v>1</v>
      </c>
      <c r="H20" s="70">
        <v>9.98E-2</v>
      </c>
      <c r="I20" s="70">
        <v>-0.01</v>
      </c>
      <c r="J20" s="70">
        <v>-4.0000000000000001E-3</v>
      </c>
      <c r="K20" s="70">
        <v>3.3300000000000003E-2</v>
      </c>
      <c r="L20" s="70">
        <v>-3.5799999999999998E-2</v>
      </c>
      <c r="M20" s="70">
        <v>3.8800000000000001E-2</v>
      </c>
      <c r="N20" s="70">
        <v>3.9100000000000003E-2</v>
      </c>
      <c r="O20" s="71" t="s">
        <v>30</v>
      </c>
      <c r="P20" s="75">
        <v>95</v>
      </c>
      <c r="Q20" s="71">
        <v>155</v>
      </c>
      <c r="R20" s="72"/>
    </row>
    <row r="21" spans="1:18" x14ac:dyDescent="0.3">
      <c r="A21" s="36" t="s">
        <v>44</v>
      </c>
      <c r="B21" s="37" t="s">
        <v>18</v>
      </c>
      <c r="C21" s="37" t="s">
        <v>19</v>
      </c>
      <c r="D21" s="38" t="s">
        <v>36</v>
      </c>
      <c r="E21" s="39" t="s">
        <v>32</v>
      </c>
      <c r="F21" s="39" t="s">
        <v>37</v>
      </c>
      <c r="G21" s="40">
        <v>5</v>
      </c>
      <c r="H21" s="40">
        <v>0.1</v>
      </c>
      <c r="I21" s="40">
        <v>-0.1</v>
      </c>
      <c r="J21" s="40">
        <v>-1.0500000000000001E-2</v>
      </c>
      <c r="K21" s="40">
        <v>3.0700000000000002E-2</v>
      </c>
      <c r="L21" s="40">
        <v>-3.0099999999999998E-2</v>
      </c>
      <c r="M21" s="40">
        <v>3.5499999999999997E-2</v>
      </c>
      <c r="N21" s="40">
        <v>3.5099999999999999E-2</v>
      </c>
      <c r="O21" s="15" t="s">
        <v>30</v>
      </c>
      <c r="P21" s="13">
        <v>3</v>
      </c>
      <c r="Q21" s="15">
        <v>16</v>
      </c>
      <c r="R21" s="22"/>
    </row>
    <row r="22" spans="1:18" x14ac:dyDescent="0.3">
      <c r="A22" s="36" t="s">
        <v>44</v>
      </c>
      <c r="B22" s="37" t="s">
        <v>18</v>
      </c>
      <c r="C22" s="37" t="s">
        <v>19</v>
      </c>
      <c r="D22" s="38" t="s">
        <v>36</v>
      </c>
      <c r="E22" s="39" t="s">
        <v>32</v>
      </c>
      <c r="F22" s="39" t="s">
        <v>43</v>
      </c>
      <c r="G22" s="40">
        <v>1</v>
      </c>
      <c r="H22" s="40">
        <v>9.9989999999999996E-2</v>
      </c>
      <c r="I22" s="40">
        <v>-0.1</v>
      </c>
      <c r="J22" s="40">
        <v>-1.83E-2</v>
      </c>
      <c r="K22" s="40">
        <v>4.24E-2</v>
      </c>
      <c r="L22" s="40">
        <v>-4.5600000000000002E-2</v>
      </c>
      <c r="M22" s="40">
        <v>4.6899999999999997E-2</v>
      </c>
      <c r="N22" s="40">
        <v>5.0299999999999997E-2</v>
      </c>
      <c r="O22" s="15" t="s">
        <v>30</v>
      </c>
      <c r="P22" s="13">
        <v>22</v>
      </c>
      <c r="Q22" s="15">
        <v>45</v>
      </c>
      <c r="R22" s="78"/>
    </row>
    <row r="23" spans="1:18" x14ac:dyDescent="0.3">
      <c r="A23" s="17" t="s">
        <v>45</v>
      </c>
      <c r="B23" s="18" t="s">
        <v>18</v>
      </c>
      <c r="C23" s="18" t="s">
        <v>19</v>
      </c>
      <c r="D23" s="19" t="s">
        <v>36</v>
      </c>
      <c r="E23" s="20" t="s">
        <v>32</v>
      </c>
      <c r="F23" s="20" t="s">
        <v>37</v>
      </c>
      <c r="G23" s="21">
        <v>1</v>
      </c>
      <c r="H23" s="21">
        <v>9.9699999999999997E-2</v>
      </c>
      <c r="I23" s="21">
        <v>-9.98E-2</v>
      </c>
      <c r="J23" s="21">
        <v>-3.5999999999999999E-3</v>
      </c>
      <c r="K23" s="21">
        <v>4.9399999999999999E-2</v>
      </c>
      <c r="L23" s="21">
        <v>-4.9000000000000002E-2</v>
      </c>
      <c r="M23" s="21">
        <v>5.3499999999999999E-2</v>
      </c>
      <c r="N23" s="21">
        <v>5.3600000000000002E-2</v>
      </c>
      <c r="O23" s="15" t="s">
        <v>30</v>
      </c>
      <c r="P23" s="13">
        <v>2</v>
      </c>
      <c r="Q23" s="15">
        <v>9</v>
      </c>
      <c r="R23" s="77"/>
    </row>
    <row r="24" spans="1:18" x14ac:dyDescent="0.3">
      <c r="A24" s="17" t="s">
        <v>45</v>
      </c>
      <c r="B24" s="18" t="s">
        <v>18</v>
      </c>
      <c r="C24" s="18" t="s">
        <v>19</v>
      </c>
      <c r="D24" s="19" t="s">
        <v>36</v>
      </c>
      <c r="E24" s="20" t="s">
        <v>32</v>
      </c>
      <c r="F24" s="20" t="s">
        <v>22</v>
      </c>
      <c r="G24" s="21">
        <v>1</v>
      </c>
      <c r="H24" s="21">
        <v>0.1</v>
      </c>
      <c r="I24" s="21">
        <v>-0.1</v>
      </c>
      <c r="J24" s="21">
        <v>-1.8E-3</v>
      </c>
      <c r="K24" s="21">
        <v>4.3900000000000002E-2</v>
      </c>
      <c r="L24" s="21">
        <v>-4.4499999999999998E-2</v>
      </c>
      <c r="M24" s="21">
        <v>4.9200000000000001E-2</v>
      </c>
      <c r="N24" s="21">
        <v>4.9200000000000001E-2</v>
      </c>
      <c r="O24" s="15" t="s">
        <v>23</v>
      </c>
      <c r="P24" s="13">
        <v>37</v>
      </c>
      <c r="Q24" s="15">
        <v>105</v>
      </c>
      <c r="R24" s="78"/>
    </row>
    <row r="25" spans="1:18" ht="15" thickBot="1" x14ac:dyDescent="0.35">
      <c r="A25" s="23" t="s">
        <v>45</v>
      </c>
      <c r="B25" s="24" t="s">
        <v>18</v>
      </c>
      <c r="C25" s="24" t="s">
        <v>19</v>
      </c>
      <c r="D25" s="25" t="s">
        <v>36</v>
      </c>
      <c r="E25" s="26" t="s">
        <v>32</v>
      </c>
      <c r="F25" s="26" t="s">
        <v>26</v>
      </c>
      <c r="G25" s="27">
        <v>45</v>
      </c>
      <c r="H25" s="27">
        <v>7.3999999999999996E-2</v>
      </c>
      <c r="I25" s="27">
        <v>-7.3999999999999996E-2</v>
      </c>
      <c r="J25" s="27">
        <v>-9.9000000000000008E-3</v>
      </c>
      <c r="K25" s="27">
        <v>2.29E-2</v>
      </c>
      <c r="L25" s="27">
        <v>-2.47E-2</v>
      </c>
      <c r="M25" s="27">
        <v>2.75E-2</v>
      </c>
      <c r="N25" s="27">
        <v>2.93E-2</v>
      </c>
      <c r="O25" s="28" t="s">
        <v>27</v>
      </c>
      <c r="P25" s="57">
        <v>16</v>
      </c>
      <c r="Q25" s="28">
        <v>58</v>
      </c>
      <c r="R25" s="29"/>
    </row>
    <row r="26" spans="1:18" x14ac:dyDescent="0.3">
      <c r="A26" s="3" t="s">
        <v>46</v>
      </c>
      <c r="B26" s="4" t="s">
        <v>18</v>
      </c>
      <c r="C26" s="4" t="s">
        <v>19</v>
      </c>
      <c r="D26" s="5" t="s">
        <v>47</v>
      </c>
      <c r="E26" s="6" t="s">
        <v>21</v>
      </c>
      <c r="F26" s="6" t="s">
        <v>48</v>
      </c>
      <c r="G26" s="7">
        <v>5</v>
      </c>
      <c r="H26" s="7">
        <v>2.1899999999999999E-2</v>
      </c>
      <c r="I26" s="7">
        <v>-2.1899999999999999E-2</v>
      </c>
      <c r="J26" s="7">
        <v>3.0999999999999999E-3</v>
      </c>
      <c r="K26" s="7">
        <v>1.0699999999999999E-2</v>
      </c>
      <c r="L26" s="7">
        <v>-1.11E-2</v>
      </c>
      <c r="M26" s="7">
        <v>1.1599999999999999E-2</v>
      </c>
      <c r="N26" s="7">
        <v>1.2E-2</v>
      </c>
      <c r="O26" s="8" t="s">
        <v>23</v>
      </c>
      <c r="P26" s="73">
        <v>10</v>
      </c>
      <c r="Q26" s="66">
        <v>58</v>
      </c>
      <c r="R26" s="35"/>
    </row>
    <row r="27" spans="1:18" x14ac:dyDescent="0.3">
      <c r="A27" s="42" t="s">
        <v>46</v>
      </c>
      <c r="B27" s="43" t="s">
        <v>18</v>
      </c>
      <c r="C27" s="43" t="s">
        <v>19</v>
      </c>
      <c r="D27" s="44" t="s">
        <v>47</v>
      </c>
      <c r="E27" s="45" t="s">
        <v>21</v>
      </c>
      <c r="F27" s="45" t="s">
        <v>22</v>
      </c>
      <c r="G27" s="46">
        <v>5</v>
      </c>
      <c r="H27" s="46">
        <v>3.1600000000000003E-2</v>
      </c>
      <c r="I27" s="46">
        <v>-3.1600000000000003E-2</v>
      </c>
      <c r="J27" s="46">
        <v>5.1000000000000004E-3</v>
      </c>
      <c r="K27" s="46">
        <v>1.61E-2</v>
      </c>
      <c r="L27" s="46">
        <v>-1.54E-2</v>
      </c>
      <c r="M27" s="46">
        <v>1.67E-2</v>
      </c>
      <c r="N27" s="46">
        <v>1.7399999999999999E-2</v>
      </c>
      <c r="O27" s="15" t="s">
        <v>23</v>
      </c>
      <c r="P27" s="13">
        <v>55</v>
      </c>
      <c r="Q27" s="15">
        <v>78</v>
      </c>
      <c r="R27" s="22"/>
    </row>
    <row r="28" spans="1:18" x14ac:dyDescent="0.3">
      <c r="A28" s="10" t="s">
        <v>49</v>
      </c>
      <c r="B28" s="11" t="s">
        <v>18</v>
      </c>
      <c r="C28" s="11" t="s">
        <v>19</v>
      </c>
      <c r="D28" s="12" t="s">
        <v>47</v>
      </c>
      <c r="E28" s="13" t="s">
        <v>21</v>
      </c>
      <c r="F28" s="13" t="s">
        <v>50</v>
      </c>
      <c r="G28" s="14">
        <v>1</v>
      </c>
      <c r="H28" s="14">
        <v>0.1</v>
      </c>
      <c r="I28" s="14">
        <v>-0.1</v>
      </c>
      <c r="J28" s="14">
        <v>2.24E-2</v>
      </c>
      <c r="K28" s="14">
        <v>4.6699999999999998E-2</v>
      </c>
      <c r="L28" s="14">
        <v>-4.5600000000000002E-2</v>
      </c>
      <c r="M28" s="14">
        <v>4.5499999999999999E-2</v>
      </c>
      <c r="N28" s="14">
        <v>5.0700000000000002E-2</v>
      </c>
      <c r="O28" s="15" t="s">
        <v>27</v>
      </c>
      <c r="P28" s="13">
        <v>65</v>
      </c>
      <c r="Q28" s="15">
        <v>83</v>
      </c>
      <c r="R28" s="22"/>
    </row>
    <row r="29" spans="1:18" x14ac:dyDescent="0.3">
      <c r="A29" s="10" t="s">
        <v>49</v>
      </c>
      <c r="B29" s="11" t="s">
        <v>18</v>
      </c>
      <c r="C29" s="11" t="s">
        <v>19</v>
      </c>
      <c r="D29" s="12" t="s">
        <v>47</v>
      </c>
      <c r="E29" s="13" t="s">
        <v>21</v>
      </c>
      <c r="F29" s="13" t="s">
        <v>22</v>
      </c>
      <c r="G29" s="52">
        <v>45</v>
      </c>
      <c r="H29" s="14">
        <v>2.18E-2</v>
      </c>
      <c r="I29" s="14">
        <v>-2.18E-2</v>
      </c>
      <c r="J29" s="14">
        <v>3.5000000000000001E-3</v>
      </c>
      <c r="K29" s="14">
        <v>8.3999999999999995E-3</v>
      </c>
      <c r="L29" s="14">
        <v>-6.7000000000000002E-3</v>
      </c>
      <c r="M29" s="14">
        <v>8.6999999999999994E-3</v>
      </c>
      <c r="N29" s="14">
        <v>9.4000000000000004E-3</v>
      </c>
      <c r="O29" s="15" t="s">
        <v>23</v>
      </c>
      <c r="P29" s="13">
        <v>79</v>
      </c>
      <c r="Q29" s="15">
        <v>104</v>
      </c>
      <c r="R29" s="41"/>
    </row>
    <row r="30" spans="1:18" x14ac:dyDescent="0.3">
      <c r="A30" s="17" t="s">
        <v>51</v>
      </c>
      <c r="B30" s="18" t="s">
        <v>18</v>
      </c>
      <c r="C30" s="18" t="s">
        <v>19</v>
      </c>
      <c r="D30" s="19" t="s">
        <v>47</v>
      </c>
      <c r="E30" s="20" t="s">
        <v>21</v>
      </c>
      <c r="F30" s="20" t="s">
        <v>22</v>
      </c>
      <c r="G30" s="21">
        <v>45</v>
      </c>
      <c r="H30" s="21">
        <v>0.05</v>
      </c>
      <c r="I30" s="21">
        <v>-0.05</v>
      </c>
      <c r="J30" s="21">
        <v>5.4000000000000003E-3</v>
      </c>
      <c r="K30" s="21">
        <v>1.7299999999999999E-2</v>
      </c>
      <c r="L30" s="21">
        <v>-1.66E-2</v>
      </c>
      <c r="M30" s="21">
        <v>1.84E-2</v>
      </c>
      <c r="N30" s="21">
        <v>1.9199999999999998E-2</v>
      </c>
      <c r="O30" s="15" t="s">
        <v>23</v>
      </c>
      <c r="P30" s="13">
        <v>32</v>
      </c>
      <c r="Q30" s="15">
        <v>44</v>
      </c>
      <c r="R30" s="41"/>
    </row>
    <row r="31" spans="1:18" ht="15" thickBot="1" x14ac:dyDescent="0.35">
      <c r="A31" s="23" t="s">
        <v>51</v>
      </c>
      <c r="B31" s="24" t="s">
        <v>18</v>
      </c>
      <c r="C31" s="24" t="s">
        <v>19</v>
      </c>
      <c r="D31" s="25" t="s">
        <v>47</v>
      </c>
      <c r="E31" s="26" t="s">
        <v>21</v>
      </c>
      <c r="F31" s="26" t="s">
        <v>22</v>
      </c>
      <c r="G31" s="27">
        <v>1</v>
      </c>
      <c r="H31" s="27">
        <v>0.1</v>
      </c>
      <c r="I31" s="27">
        <v>-0.1</v>
      </c>
      <c r="J31" s="27">
        <v>2.5399999999999999E-2</v>
      </c>
      <c r="K31" s="27">
        <v>6.4699999999999994E-2</v>
      </c>
      <c r="L31" s="27">
        <v>-6.1699999999999998E-2</v>
      </c>
      <c r="M31" s="27">
        <v>6.2E-2</v>
      </c>
      <c r="N31" s="27">
        <v>6.7000000000000004E-2</v>
      </c>
      <c r="O31" s="28" t="s">
        <v>23</v>
      </c>
      <c r="P31" s="57">
        <v>42</v>
      </c>
      <c r="Q31" s="28">
        <v>61</v>
      </c>
      <c r="R31" s="29"/>
    </row>
    <row r="32" spans="1:18" x14ac:dyDescent="0.3">
      <c r="A32" s="30" t="s">
        <v>52</v>
      </c>
      <c r="B32" s="31" t="s">
        <v>18</v>
      </c>
      <c r="C32" s="31" t="s">
        <v>19</v>
      </c>
      <c r="D32" s="32" t="s">
        <v>47</v>
      </c>
      <c r="E32" s="33" t="s">
        <v>32</v>
      </c>
      <c r="F32" s="33" t="s">
        <v>53</v>
      </c>
      <c r="G32" s="34">
        <v>5</v>
      </c>
      <c r="H32" s="34">
        <v>2.9000000000000001E-2</v>
      </c>
      <c r="I32" s="34">
        <v>-2.9000000000000001E-2</v>
      </c>
      <c r="J32" s="34">
        <v>4.0000000000000001E-3</v>
      </c>
      <c r="K32" s="34">
        <v>1.6199999999999999E-2</v>
      </c>
      <c r="L32" s="34">
        <v>-1.4999999999999999E-2</v>
      </c>
      <c r="M32" s="34">
        <v>1.67E-2</v>
      </c>
      <c r="N32" s="34">
        <v>1.72E-2</v>
      </c>
      <c r="O32" s="8" t="s">
        <v>23</v>
      </c>
      <c r="P32" s="73">
        <v>88</v>
      </c>
      <c r="Q32" s="8">
        <v>216</v>
      </c>
      <c r="R32" s="35"/>
    </row>
    <row r="33" spans="1:18" x14ac:dyDescent="0.3">
      <c r="A33" s="17" t="s">
        <v>54</v>
      </c>
      <c r="B33" s="18" t="s">
        <v>18</v>
      </c>
      <c r="C33" s="18" t="s">
        <v>19</v>
      </c>
      <c r="D33" s="44" t="s">
        <v>47</v>
      </c>
      <c r="E33" s="45" t="s">
        <v>32</v>
      </c>
      <c r="F33" s="45" t="s">
        <v>22</v>
      </c>
      <c r="G33" s="46">
        <v>45</v>
      </c>
      <c r="H33" s="46">
        <v>2.93E-2</v>
      </c>
      <c r="I33" s="46">
        <v>-2.93E-2</v>
      </c>
      <c r="J33" s="46">
        <v>7.0000000000000001E-3</v>
      </c>
      <c r="K33" s="46">
        <v>1.2699999999999999E-2</v>
      </c>
      <c r="L33" s="46">
        <v>-8.6E-3</v>
      </c>
      <c r="M33" s="46">
        <v>1.1900000000000001E-2</v>
      </c>
      <c r="N33" s="46">
        <v>1.38E-2</v>
      </c>
      <c r="O33" s="15" t="s">
        <v>23</v>
      </c>
      <c r="P33" s="13">
        <v>19</v>
      </c>
      <c r="Q33" s="15">
        <v>74</v>
      </c>
      <c r="R33" s="22"/>
    </row>
    <row r="34" spans="1:18" x14ac:dyDescent="0.3">
      <c r="A34" s="17" t="s">
        <v>54</v>
      </c>
      <c r="B34" s="18" t="s">
        <v>18</v>
      </c>
      <c r="C34" s="18" t="s">
        <v>19</v>
      </c>
      <c r="D34" s="44" t="s">
        <v>47</v>
      </c>
      <c r="E34" s="45" t="s">
        <v>32</v>
      </c>
      <c r="F34" s="45" t="s">
        <v>26</v>
      </c>
      <c r="G34" s="46">
        <v>5</v>
      </c>
      <c r="H34" s="46">
        <v>3.4099999999999998E-2</v>
      </c>
      <c r="I34" s="46">
        <v>-3.4099999999999998E-2</v>
      </c>
      <c r="J34" s="46">
        <v>8.6E-3</v>
      </c>
      <c r="K34" s="46">
        <v>1.47E-2</v>
      </c>
      <c r="L34" s="46">
        <v>-1.4E-2</v>
      </c>
      <c r="M34" s="46">
        <v>1.4E-2</v>
      </c>
      <c r="N34" s="46">
        <v>1.6500000000000001E-2</v>
      </c>
      <c r="O34" s="15" t="s">
        <v>27</v>
      </c>
      <c r="P34" s="13">
        <v>46</v>
      </c>
      <c r="Q34" s="15">
        <v>166</v>
      </c>
      <c r="R34" s="22"/>
    </row>
    <row r="35" spans="1:18" x14ac:dyDescent="0.3">
      <c r="A35" s="36" t="s">
        <v>55</v>
      </c>
      <c r="B35" s="37" t="s">
        <v>18</v>
      </c>
      <c r="C35" s="37" t="s">
        <v>19</v>
      </c>
      <c r="D35" s="38" t="s">
        <v>47</v>
      </c>
      <c r="E35" s="39" t="s">
        <v>32</v>
      </c>
      <c r="F35" s="39" t="s">
        <v>26</v>
      </c>
      <c r="G35" s="40">
        <v>45</v>
      </c>
      <c r="H35" s="40">
        <v>3.04E-2</v>
      </c>
      <c r="I35" s="40">
        <v>-3.04E-2</v>
      </c>
      <c r="J35" s="40">
        <v>6.9999999999999999E-4</v>
      </c>
      <c r="K35" s="40">
        <v>1.21E-2</v>
      </c>
      <c r="L35" s="40">
        <v>-1.12E-2</v>
      </c>
      <c r="M35" s="40">
        <v>1.38E-2</v>
      </c>
      <c r="N35" s="40">
        <v>1.38E-2</v>
      </c>
      <c r="O35" s="15" t="s">
        <v>27</v>
      </c>
      <c r="P35" s="13">
        <v>51</v>
      </c>
      <c r="Q35" s="15">
        <v>91</v>
      </c>
      <c r="R35" s="22"/>
    </row>
    <row r="36" spans="1:18" x14ac:dyDescent="0.3">
      <c r="A36" s="36" t="s">
        <v>55</v>
      </c>
      <c r="B36" s="37" t="s">
        <v>18</v>
      </c>
      <c r="C36" s="37" t="s">
        <v>19</v>
      </c>
      <c r="D36" s="38" t="s">
        <v>47</v>
      </c>
      <c r="E36" s="39" t="s">
        <v>32</v>
      </c>
      <c r="F36" s="39" t="s">
        <v>37</v>
      </c>
      <c r="G36" s="40">
        <v>45</v>
      </c>
      <c r="H36" s="40">
        <v>0.01</v>
      </c>
      <c r="I36" s="40">
        <v>-0.01</v>
      </c>
      <c r="J36" s="40">
        <v>2.9999999999999997E-4</v>
      </c>
      <c r="K36" s="40">
        <v>4.0000000000000001E-3</v>
      </c>
      <c r="L36" s="40">
        <v>-4.1000000000000003E-3</v>
      </c>
      <c r="M36" s="40">
        <v>4.7000000000000002E-3</v>
      </c>
      <c r="N36" s="40">
        <v>4.7000000000000002E-3</v>
      </c>
      <c r="O36" s="15" t="s">
        <v>30</v>
      </c>
      <c r="P36" s="13">
        <v>2</v>
      </c>
      <c r="Q36" s="15">
        <v>14</v>
      </c>
      <c r="R36" s="22"/>
    </row>
    <row r="37" spans="1:18" ht="15" thickBot="1" x14ac:dyDescent="0.35">
      <c r="A37" s="53" t="s">
        <v>55</v>
      </c>
      <c r="B37" s="54" t="s">
        <v>18</v>
      </c>
      <c r="C37" s="54" t="s">
        <v>19</v>
      </c>
      <c r="D37" s="49" t="s">
        <v>47</v>
      </c>
      <c r="E37" s="50" t="s">
        <v>32</v>
      </c>
      <c r="F37" s="50" t="s">
        <v>37</v>
      </c>
      <c r="G37" s="51">
        <v>1</v>
      </c>
      <c r="H37" s="51">
        <v>9.9900000000000003E-2</v>
      </c>
      <c r="I37" s="51">
        <v>-9.9599999999999994E-2</v>
      </c>
      <c r="J37" s="51">
        <v>-8.2000000000000007E-3</v>
      </c>
      <c r="K37" s="51">
        <v>2.3599999999999999E-2</v>
      </c>
      <c r="L37" s="51">
        <v>-3.1800000000000002E-2</v>
      </c>
      <c r="M37" s="51">
        <v>3.2300000000000002E-2</v>
      </c>
      <c r="N37" s="51">
        <v>3.3300000000000003E-2</v>
      </c>
      <c r="O37" s="28" t="s">
        <v>30</v>
      </c>
      <c r="P37" s="57">
        <v>13</v>
      </c>
      <c r="Q37" s="28">
        <v>27</v>
      </c>
      <c r="R37" s="29"/>
    </row>
    <row r="38" spans="1:18" x14ac:dyDescent="0.3">
      <c r="A38" s="3" t="s">
        <v>56</v>
      </c>
      <c r="B38" s="4" t="s">
        <v>18</v>
      </c>
      <c r="C38" s="4" t="s">
        <v>57</v>
      </c>
      <c r="D38" s="5" t="s">
        <v>20</v>
      </c>
      <c r="E38" s="6" t="s">
        <v>32</v>
      </c>
      <c r="F38" s="6" t="s">
        <v>48</v>
      </c>
      <c r="G38" s="7">
        <v>1</v>
      </c>
      <c r="H38" s="7">
        <v>9.9699999999999997E-2</v>
      </c>
      <c r="I38" s="7">
        <v>-9.98E-2</v>
      </c>
      <c r="J38" s="7">
        <v>1.49E-2</v>
      </c>
      <c r="K38" s="7">
        <v>4.0500000000000001E-2</v>
      </c>
      <c r="L38" s="7">
        <v>-4.2900000000000001E-2</v>
      </c>
      <c r="M38" s="7">
        <v>4.3400000000000001E-2</v>
      </c>
      <c r="N38" s="7">
        <v>4.5900000000000003E-2</v>
      </c>
      <c r="O38" s="8" t="s">
        <v>23</v>
      </c>
      <c r="P38" s="73">
        <v>14</v>
      </c>
      <c r="Q38" s="8">
        <v>15</v>
      </c>
      <c r="R38" s="35"/>
    </row>
    <row r="39" spans="1:18" x14ac:dyDescent="0.3">
      <c r="A39" s="42" t="s">
        <v>56</v>
      </c>
      <c r="B39" s="43" t="s">
        <v>18</v>
      </c>
      <c r="C39" s="43" t="s">
        <v>57</v>
      </c>
      <c r="D39" s="44" t="s">
        <v>20</v>
      </c>
      <c r="E39" s="45" t="s">
        <v>32</v>
      </c>
      <c r="F39" s="45" t="s">
        <v>58</v>
      </c>
      <c r="G39" s="46">
        <v>1</v>
      </c>
      <c r="H39" s="46">
        <v>9.98E-2</v>
      </c>
      <c r="I39" s="46">
        <v>-9.9500000000000005E-2</v>
      </c>
      <c r="J39" s="46">
        <v>9.7999999999999997E-3</v>
      </c>
      <c r="K39" s="46">
        <v>2.64E-2</v>
      </c>
      <c r="L39" s="46">
        <v>-3.5200000000000002E-2</v>
      </c>
      <c r="M39" s="46">
        <v>3.2500000000000001E-2</v>
      </c>
      <c r="N39" s="46">
        <v>3.39E-2</v>
      </c>
      <c r="O39" s="15" t="s">
        <v>27</v>
      </c>
      <c r="P39" s="13">
        <v>25</v>
      </c>
      <c r="Q39" s="15">
        <v>28</v>
      </c>
      <c r="R39" s="22"/>
    </row>
    <row r="40" spans="1:18" x14ac:dyDescent="0.3">
      <c r="A40" s="42" t="s">
        <v>56</v>
      </c>
      <c r="B40" s="43" t="s">
        <v>18</v>
      </c>
      <c r="C40" s="43" t="s">
        <v>57</v>
      </c>
      <c r="D40" s="44" t="s">
        <v>20</v>
      </c>
      <c r="E40" s="45" t="s">
        <v>32</v>
      </c>
      <c r="F40" s="45" t="s">
        <v>22</v>
      </c>
      <c r="G40" s="46">
        <v>45</v>
      </c>
      <c r="H40" s="46">
        <v>2.6499999999999999E-2</v>
      </c>
      <c r="I40" s="46">
        <v>-2.6499999999999999E-2</v>
      </c>
      <c r="J40" s="46">
        <v>6.1000000000000004E-3</v>
      </c>
      <c r="K40" s="46">
        <v>9.7000000000000003E-3</v>
      </c>
      <c r="L40" s="46">
        <v>-9.1999999999999998E-3</v>
      </c>
      <c r="M40" s="46">
        <v>9.1000000000000004E-3</v>
      </c>
      <c r="N40" s="46">
        <v>1.0999999999999999E-2</v>
      </c>
      <c r="O40" s="15" t="s">
        <v>23</v>
      </c>
      <c r="P40" s="13">
        <v>52</v>
      </c>
      <c r="Q40" s="15">
        <v>61</v>
      </c>
      <c r="R40" s="22"/>
    </row>
    <row r="41" spans="1:18" x14ac:dyDescent="0.3">
      <c r="A41" s="42" t="s">
        <v>56</v>
      </c>
      <c r="B41" s="43" t="s">
        <v>18</v>
      </c>
      <c r="C41" s="43" t="s">
        <v>57</v>
      </c>
      <c r="D41" s="44" t="s">
        <v>20</v>
      </c>
      <c r="E41" s="45" t="s">
        <v>32</v>
      </c>
      <c r="F41" s="45" t="s">
        <v>59</v>
      </c>
      <c r="G41" s="46">
        <v>45</v>
      </c>
      <c r="H41" s="46">
        <v>2.87E-2</v>
      </c>
      <c r="I41" s="46">
        <v>-2.87E-2</v>
      </c>
      <c r="J41" s="46">
        <v>4.4000000000000003E-3</v>
      </c>
      <c r="K41" s="46">
        <v>1.06E-2</v>
      </c>
      <c r="L41" s="46">
        <v>-8.5000000000000006E-3</v>
      </c>
      <c r="M41" s="46">
        <v>1.12E-2</v>
      </c>
      <c r="N41" s="46">
        <v>1.2E-2</v>
      </c>
      <c r="O41" s="15" t="s">
        <v>23</v>
      </c>
      <c r="P41" s="13">
        <v>63</v>
      </c>
      <c r="Q41" s="15">
        <v>80</v>
      </c>
      <c r="R41" s="22"/>
    </row>
    <row r="42" spans="1:18" x14ac:dyDescent="0.3">
      <c r="A42" s="42" t="s">
        <v>56</v>
      </c>
      <c r="B42" s="43" t="s">
        <v>18</v>
      </c>
      <c r="C42" s="43" t="s">
        <v>57</v>
      </c>
      <c r="D42" s="44" t="s">
        <v>20</v>
      </c>
      <c r="E42" s="45" t="s">
        <v>32</v>
      </c>
      <c r="F42" s="45" t="s">
        <v>22</v>
      </c>
      <c r="G42" s="46">
        <v>45</v>
      </c>
      <c r="H42" s="46">
        <v>0.14099999999999999</v>
      </c>
      <c r="I42" s="46">
        <v>-0.14099999999999999</v>
      </c>
      <c r="J42" s="46">
        <v>3.8999999999999998E-3</v>
      </c>
      <c r="K42" s="46">
        <v>4.8300000000000003E-2</v>
      </c>
      <c r="L42" s="46">
        <v>-4.7899999999999998E-2</v>
      </c>
      <c r="M42" s="46">
        <v>5.7200000000000001E-2</v>
      </c>
      <c r="N42" s="46">
        <v>5.7299999999999997E-2</v>
      </c>
      <c r="O42" s="15" t="s">
        <v>23</v>
      </c>
      <c r="P42" s="13">
        <v>94</v>
      </c>
      <c r="Q42" s="15">
        <v>122</v>
      </c>
      <c r="R42" s="22"/>
    </row>
    <row r="43" spans="1:18" ht="15" thickBot="1" x14ac:dyDescent="0.35">
      <c r="A43" s="53" t="s">
        <v>60</v>
      </c>
      <c r="B43" s="54" t="s">
        <v>18</v>
      </c>
      <c r="C43" s="54" t="s">
        <v>57</v>
      </c>
      <c r="D43" s="49" t="s">
        <v>20</v>
      </c>
      <c r="E43" s="50" t="s">
        <v>32</v>
      </c>
      <c r="F43" s="50" t="s">
        <v>26</v>
      </c>
      <c r="G43" s="51">
        <v>45</v>
      </c>
      <c r="H43" s="51">
        <v>0.1159</v>
      </c>
      <c r="I43" s="51">
        <v>-0.1158</v>
      </c>
      <c r="J43" s="51">
        <v>2.46E-2</v>
      </c>
      <c r="K43" s="51">
        <v>2.87E-2</v>
      </c>
      <c r="L43" s="51">
        <v>-1.7500000000000002E-2</v>
      </c>
      <c r="M43" s="51">
        <v>2.3300000000000001E-2</v>
      </c>
      <c r="N43" s="51">
        <v>3.3799999999999997E-2</v>
      </c>
      <c r="O43" s="28" t="s">
        <v>27</v>
      </c>
      <c r="P43" s="57">
        <v>3</v>
      </c>
      <c r="Q43" s="28">
        <v>8</v>
      </c>
      <c r="R43" s="29"/>
    </row>
    <row r="44" spans="1:18" x14ac:dyDescent="0.3">
      <c r="A44" s="10" t="s">
        <v>61</v>
      </c>
      <c r="B44" s="11" t="s">
        <v>18</v>
      </c>
      <c r="C44" s="11" t="s">
        <v>57</v>
      </c>
      <c r="D44" s="12" t="s">
        <v>62</v>
      </c>
      <c r="E44" s="13" t="s">
        <v>32</v>
      </c>
      <c r="F44" s="13" t="s">
        <v>22</v>
      </c>
      <c r="G44" s="14">
        <v>5</v>
      </c>
      <c r="H44" s="14">
        <v>0.05</v>
      </c>
      <c r="I44" s="14">
        <v>-0.05</v>
      </c>
      <c r="J44" s="14">
        <v>3.7000000000000002E-3</v>
      </c>
      <c r="K44" s="14">
        <v>2.07E-2</v>
      </c>
      <c r="L44" s="14">
        <v>-2.0799999999999999E-2</v>
      </c>
      <c r="M44" s="14">
        <v>2.2800000000000001E-2</v>
      </c>
      <c r="N44" s="14">
        <v>2.3099999999999999E-2</v>
      </c>
      <c r="O44" s="15" t="s">
        <v>23</v>
      </c>
      <c r="P44" s="13">
        <v>34</v>
      </c>
      <c r="Q44" s="15">
        <v>36</v>
      </c>
      <c r="R44" s="22"/>
    </row>
    <row r="45" spans="1:18" x14ac:dyDescent="0.3">
      <c r="A45" s="10" t="s">
        <v>61</v>
      </c>
      <c r="B45" s="11" t="s">
        <v>18</v>
      </c>
      <c r="C45" s="11" t="s">
        <v>57</v>
      </c>
      <c r="D45" s="12" t="s">
        <v>62</v>
      </c>
      <c r="E45" s="13" t="s">
        <v>32</v>
      </c>
      <c r="F45" s="13" t="s">
        <v>22</v>
      </c>
      <c r="G45" s="14">
        <v>5</v>
      </c>
      <c r="H45" s="14">
        <v>0.05</v>
      </c>
      <c r="I45" s="14">
        <v>-0.05</v>
      </c>
      <c r="J45" s="14">
        <v>-2.9999999999999997E-4</v>
      </c>
      <c r="K45" s="14">
        <v>2.1000000000000001E-2</v>
      </c>
      <c r="L45" s="14">
        <v>-2.1600000000000001E-2</v>
      </c>
      <c r="M45" s="14">
        <v>2.41E-2</v>
      </c>
      <c r="N45" s="14">
        <v>2.41E-2</v>
      </c>
      <c r="O45" s="15" t="s">
        <v>23</v>
      </c>
      <c r="P45" s="13">
        <v>59</v>
      </c>
      <c r="Q45" s="15">
        <v>66</v>
      </c>
      <c r="R45" s="22"/>
    </row>
    <row r="46" spans="1:18" x14ac:dyDescent="0.3">
      <c r="A46" s="10" t="s">
        <v>61</v>
      </c>
      <c r="B46" s="11" t="s">
        <v>18</v>
      </c>
      <c r="C46" s="11" t="s">
        <v>57</v>
      </c>
      <c r="D46" s="12" t="s">
        <v>62</v>
      </c>
      <c r="E46" s="13" t="s">
        <v>32</v>
      </c>
      <c r="F46" s="13" t="s">
        <v>22</v>
      </c>
      <c r="G46" s="14">
        <v>1</v>
      </c>
      <c r="H46" s="14">
        <v>0.1</v>
      </c>
      <c r="I46" s="14">
        <v>-0.1</v>
      </c>
      <c r="J46" s="14">
        <v>2.53E-2</v>
      </c>
      <c r="K46" s="14">
        <v>6.93E-2</v>
      </c>
      <c r="L46" s="14">
        <v>-6.4399999999999999E-2</v>
      </c>
      <c r="M46" s="14">
        <v>6.6299999999999998E-2</v>
      </c>
      <c r="N46" s="14">
        <v>7.0999999999999994E-2</v>
      </c>
      <c r="O46" s="15" t="s">
        <v>23</v>
      </c>
      <c r="P46" s="13">
        <v>40</v>
      </c>
      <c r="Q46" s="15">
        <v>47</v>
      </c>
      <c r="R46" s="22"/>
    </row>
    <row r="47" spans="1:18" x14ac:dyDescent="0.3">
      <c r="A47" s="17" t="s">
        <v>63</v>
      </c>
      <c r="B47" s="18" t="s">
        <v>18</v>
      </c>
      <c r="C47" s="18" t="s">
        <v>57</v>
      </c>
      <c r="D47" s="19" t="s">
        <v>62</v>
      </c>
      <c r="E47" s="20" t="s">
        <v>32</v>
      </c>
      <c r="F47" s="20" t="s">
        <v>22</v>
      </c>
      <c r="G47" s="21">
        <v>45</v>
      </c>
      <c r="H47" s="21">
        <v>1.21E-2</v>
      </c>
      <c r="I47" s="21">
        <v>-1.1900000000000001E-2</v>
      </c>
      <c r="J47" s="21">
        <v>2.5999999999999999E-3</v>
      </c>
      <c r="K47" s="21">
        <v>4.8999999999999998E-3</v>
      </c>
      <c r="L47" s="21">
        <v>-3.3E-3</v>
      </c>
      <c r="M47" s="21">
        <v>4.5999999999999999E-3</v>
      </c>
      <c r="N47" s="21">
        <v>5.1999999999999998E-3</v>
      </c>
      <c r="O47" s="15" t="s">
        <v>23</v>
      </c>
      <c r="P47" s="13">
        <v>26</v>
      </c>
      <c r="Q47" s="15">
        <v>30</v>
      </c>
      <c r="R47" s="22"/>
    </row>
    <row r="48" spans="1:18" x14ac:dyDescent="0.3">
      <c r="A48" s="17" t="s">
        <v>63</v>
      </c>
      <c r="B48" s="18" t="s">
        <v>18</v>
      </c>
      <c r="C48" s="18" t="s">
        <v>57</v>
      </c>
      <c r="D48" s="19" t="s">
        <v>62</v>
      </c>
      <c r="E48" s="20" t="s">
        <v>32</v>
      </c>
      <c r="F48" s="20" t="s">
        <v>22</v>
      </c>
      <c r="G48" s="21">
        <v>5</v>
      </c>
      <c r="H48" s="21">
        <v>4.9700000000000001E-2</v>
      </c>
      <c r="I48" s="21">
        <v>-0.05</v>
      </c>
      <c r="J48" s="21">
        <v>-5.9999999999999995E-4</v>
      </c>
      <c r="K48" s="21">
        <v>1.0699999999999999E-2</v>
      </c>
      <c r="L48" s="21">
        <v>-1.8200000000000001E-2</v>
      </c>
      <c r="M48" s="21">
        <v>1.5800000000000002E-2</v>
      </c>
      <c r="N48" s="21">
        <v>1.5800000000000002E-2</v>
      </c>
      <c r="O48" s="15" t="s">
        <v>23</v>
      </c>
      <c r="P48" s="13">
        <v>32</v>
      </c>
      <c r="Q48" s="15">
        <v>36</v>
      </c>
      <c r="R48" s="22"/>
    </row>
    <row r="49" spans="1:18" ht="15" thickBot="1" x14ac:dyDescent="0.35">
      <c r="A49" s="23" t="s">
        <v>63</v>
      </c>
      <c r="B49" s="24" t="s">
        <v>18</v>
      </c>
      <c r="C49" s="24" t="s">
        <v>57</v>
      </c>
      <c r="D49" s="25" t="s">
        <v>62</v>
      </c>
      <c r="E49" s="26" t="s">
        <v>32</v>
      </c>
      <c r="F49" s="26" t="s">
        <v>22</v>
      </c>
      <c r="G49" s="27">
        <v>1</v>
      </c>
      <c r="H49" s="27">
        <v>0.1</v>
      </c>
      <c r="I49" s="27">
        <v>-0.1</v>
      </c>
      <c r="J49" s="27">
        <v>1.9400000000000001E-2</v>
      </c>
      <c r="K49" s="27">
        <v>6.25E-2</v>
      </c>
      <c r="L49" s="27">
        <v>-6.0199999999999997E-2</v>
      </c>
      <c r="M49" s="27">
        <v>6.2300000000000001E-2</v>
      </c>
      <c r="N49" s="27">
        <v>6.5299999999999997E-2</v>
      </c>
      <c r="O49" s="28" t="s">
        <v>23</v>
      </c>
      <c r="P49" s="57">
        <v>34</v>
      </c>
      <c r="Q49" s="28">
        <v>39</v>
      </c>
      <c r="R49" s="29"/>
    </row>
    <row r="50" spans="1:18" x14ac:dyDescent="0.3">
      <c r="A50" s="42" t="s">
        <v>65</v>
      </c>
      <c r="B50" s="43" t="s">
        <v>18</v>
      </c>
      <c r="C50" s="43" t="s">
        <v>57</v>
      </c>
      <c r="D50" s="44" t="s">
        <v>66</v>
      </c>
      <c r="E50" s="45" t="s">
        <v>32</v>
      </c>
      <c r="F50" s="45" t="s">
        <v>67</v>
      </c>
      <c r="G50" s="46">
        <v>45</v>
      </c>
      <c r="H50" s="46">
        <v>5.5899999999999998E-2</v>
      </c>
      <c r="I50" s="46">
        <v>-5.6000000000000001E-2</v>
      </c>
      <c r="J50" s="46">
        <v>-3.3E-3</v>
      </c>
      <c r="K50" s="46">
        <v>9.4000000000000004E-3</v>
      </c>
      <c r="L50" s="46">
        <v>-8.5000000000000006E-3</v>
      </c>
      <c r="M50" s="46">
        <v>1.04E-2</v>
      </c>
      <c r="N50" s="46">
        <v>1.09E-2</v>
      </c>
      <c r="O50" s="15" t="s">
        <v>78</v>
      </c>
      <c r="P50" s="13">
        <v>246</v>
      </c>
      <c r="Q50" s="15">
        <v>276</v>
      </c>
      <c r="R50" s="22"/>
    </row>
    <row r="51" spans="1:18" x14ac:dyDescent="0.3">
      <c r="A51" s="10" t="s">
        <v>68</v>
      </c>
      <c r="B51" s="11" t="s">
        <v>18</v>
      </c>
      <c r="C51" s="11" t="s">
        <v>57</v>
      </c>
      <c r="D51" s="38" t="s">
        <v>66</v>
      </c>
      <c r="E51" s="39" t="s">
        <v>32</v>
      </c>
      <c r="F51" s="39" t="s">
        <v>69</v>
      </c>
      <c r="G51" s="40">
        <v>45</v>
      </c>
      <c r="H51" s="40">
        <v>4.5600000000000002E-2</v>
      </c>
      <c r="I51" s="40">
        <v>-4.5600000000000002E-2</v>
      </c>
      <c r="J51" s="40">
        <v>-6.9999999999999999E-4</v>
      </c>
      <c r="K51" s="40">
        <v>8.3999999999999995E-3</v>
      </c>
      <c r="L51" s="40">
        <v>-9.4000000000000004E-3</v>
      </c>
      <c r="M51" s="40">
        <v>1.21E-2</v>
      </c>
      <c r="N51" s="40">
        <v>1.21E-2</v>
      </c>
      <c r="O51" s="15" t="s">
        <v>27</v>
      </c>
      <c r="P51" s="13">
        <v>181</v>
      </c>
      <c r="Q51" s="15">
        <v>201</v>
      </c>
      <c r="R51" s="22"/>
    </row>
    <row r="52" spans="1:18" x14ac:dyDescent="0.3">
      <c r="A52" s="10" t="s">
        <v>68</v>
      </c>
      <c r="B52" s="11" t="s">
        <v>18</v>
      </c>
      <c r="C52" s="11" t="s">
        <v>57</v>
      </c>
      <c r="D52" s="38" t="s">
        <v>66</v>
      </c>
      <c r="E52" s="39" t="s">
        <v>32</v>
      </c>
      <c r="F52" s="13" t="s">
        <v>26</v>
      </c>
      <c r="G52" s="14">
        <v>45</v>
      </c>
      <c r="H52" s="14">
        <v>0.216</v>
      </c>
      <c r="I52" s="14">
        <v>-0.216</v>
      </c>
      <c r="J52" s="14">
        <v>1.03E-2</v>
      </c>
      <c r="K52" s="14">
        <v>2.3599999999999999E-2</v>
      </c>
      <c r="L52" s="14">
        <v>-1.7299999999999999E-2</v>
      </c>
      <c r="M52" s="14">
        <v>3.2899999999999999E-2</v>
      </c>
      <c r="N52" s="14">
        <v>3.4500000000000003E-2</v>
      </c>
      <c r="O52" s="15" t="s">
        <v>27</v>
      </c>
      <c r="P52" s="13">
        <v>192</v>
      </c>
      <c r="Q52" s="15">
        <v>212</v>
      </c>
      <c r="R52" s="22"/>
    </row>
    <row r="53" spans="1:18" x14ac:dyDescent="0.3">
      <c r="A53" s="42" t="s">
        <v>70</v>
      </c>
      <c r="B53" s="43" t="s">
        <v>18</v>
      </c>
      <c r="C53" s="43" t="s">
        <v>57</v>
      </c>
      <c r="D53" s="44" t="s">
        <v>66</v>
      </c>
      <c r="E53" s="45" t="s">
        <v>32</v>
      </c>
      <c r="F53" s="55" t="s">
        <v>48</v>
      </c>
      <c r="G53" s="56">
        <v>1</v>
      </c>
      <c r="H53" s="56">
        <v>0.1</v>
      </c>
      <c r="I53" s="56">
        <v>-9.9599999999999994E-2</v>
      </c>
      <c r="J53" s="56">
        <v>4.4000000000000003E-3</v>
      </c>
      <c r="K53" s="56">
        <v>2.29E-2</v>
      </c>
      <c r="L53" s="56">
        <v>-3.5700000000000003E-2</v>
      </c>
      <c r="M53" s="56">
        <v>3.1E-2</v>
      </c>
      <c r="N53" s="56">
        <v>3.1300000000000001E-2</v>
      </c>
      <c r="O53" s="15" t="s">
        <v>23</v>
      </c>
      <c r="P53" s="76">
        <v>62</v>
      </c>
      <c r="Q53" s="15">
        <v>106</v>
      </c>
      <c r="R53" s="22"/>
    </row>
    <row r="54" spans="1:18" x14ac:dyDescent="0.3">
      <c r="A54" s="10" t="s">
        <v>71</v>
      </c>
      <c r="B54" s="11" t="s">
        <v>18</v>
      </c>
      <c r="C54" s="11" t="s">
        <v>57</v>
      </c>
      <c r="D54" s="38" t="s">
        <v>66</v>
      </c>
      <c r="E54" s="39" t="s">
        <v>32</v>
      </c>
      <c r="F54" s="39" t="s">
        <v>26</v>
      </c>
      <c r="G54" s="40">
        <v>45</v>
      </c>
      <c r="H54" s="40">
        <v>0.11799999999999999</v>
      </c>
      <c r="I54" s="40">
        <v>-0.11799999999999999</v>
      </c>
      <c r="J54" s="40">
        <v>2.5999999999999999E-3</v>
      </c>
      <c r="K54" s="40">
        <v>2.86E-2</v>
      </c>
      <c r="L54" s="40">
        <v>-2.8199999999999999E-2</v>
      </c>
      <c r="M54" s="40">
        <v>3.5799999999999998E-2</v>
      </c>
      <c r="N54" s="40">
        <v>3.5900000000000001E-2</v>
      </c>
      <c r="O54" s="15" t="s">
        <v>27</v>
      </c>
      <c r="P54" s="13">
        <v>1</v>
      </c>
      <c r="Q54" s="15">
        <v>9</v>
      </c>
      <c r="R54" s="22"/>
    </row>
    <row r="55" spans="1:18" ht="15" thickBot="1" x14ac:dyDescent="0.35">
      <c r="A55" s="47" t="s">
        <v>71</v>
      </c>
      <c r="B55" s="48" t="s">
        <v>18</v>
      </c>
      <c r="C55" s="48" t="s">
        <v>57</v>
      </c>
      <c r="D55" s="49" t="s">
        <v>66</v>
      </c>
      <c r="E55" s="50" t="s">
        <v>32</v>
      </c>
      <c r="F55" s="57" t="s">
        <v>26</v>
      </c>
      <c r="G55" s="58">
        <v>1</v>
      </c>
      <c r="H55" s="58">
        <v>0.1</v>
      </c>
      <c r="I55" s="58">
        <v>-0.1</v>
      </c>
      <c r="J55" s="58">
        <v>7.4999999999999997E-3</v>
      </c>
      <c r="K55" s="58">
        <v>2.8000000000000001E-2</v>
      </c>
      <c r="L55" s="58">
        <v>-2.9700000000000001E-2</v>
      </c>
      <c r="M55" s="58">
        <v>3.3099999999999997E-2</v>
      </c>
      <c r="N55" s="58">
        <v>3.4000000000000002E-2</v>
      </c>
      <c r="O55" s="28" t="s">
        <v>27</v>
      </c>
      <c r="P55" s="57">
        <v>25</v>
      </c>
      <c r="Q55" s="28">
        <v>52</v>
      </c>
      <c r="R55" s="29"/>
    </row>
    <row r="56" spans="1:18" x14ac:dyDescent="0.3">
      <c r="A56" s="3" t="s">
        <v>72</v>
      </c>
      <c r="B56" s="4" t="s">
        <v>18</v>
      </c>
      <c r="C56" s="4" t="s">
        <v>57</v>
      </c>
      <c r="D56" s="59" t="s">
        <v>73</v>
      </c>
      <c r="E56" s="60" t="s">
        <v>32</v>
      </c>
      <c r="F56" s="6" t="s">
        <v>29</v>
      </c>
      <c r="G56" s="46">
        <v>1</v>
      </c>
      <c r="H56" s="46">
        <v>9.9699999999999997E-2</v>
      </c>
      <c r="I56" s="46">
        <v>-9.9900000000000003E-2</v>
      </c>
      <c r="J56" s="46">
        <v>-2.8E-3</v>
      </c>
      <c r="K56" s="46">
        <v>2.2100000000000002E-2</v>
      </c>
      <c r="L56" s="46">
        <v>-2.4299999999999999E-2</v>
      </c>
      <c r="M56" s="46">
        <v>2.8400000000000002E-2</v>
      </c>
      <c r="N56" s="46">
        <v>2.8500000000000001E-2</v>
      </c>
      <c r="O56" s="8" t="s">
        <v>30</v>
      </c>
      <c r="P56" s="73">
        <v>108</v>
      </c>
      <c r="Q56" s="8">
        <v>117</v>
      </c>
      <c r="R56" s="87"/>
    </row>
    <row r="57" spans="1:18" x14ac:dyDescent="0.3">
      <c r="A57" s="10" t="s">
        <v>74</v>
      </c>
      <c r="B57" s="11" t="s">
        <v>18</v>
      </c>
      <c r="C57" s="11" t="s">
        <v>57</v>
      </c>
      <c r="D57" s="38" t="s">
        <v>73</v>
      </c>
      <c r="E57" s="39" t="s">
        <v>32</v>
      </c>
      <c r="F57" s="39" t="s">
        <v>75</v>
      </c>
      <c r="G57" s="40">
        <v>45</v>
      </c>
      <c r="H57" s="40">
        <v>4.8599999999999997E-2</v>
      </c>
      <c r="I57" s="40">
        <v>-4.8599999999999997E-2</v>
      </c>
      <c r="J57" s="40">
        <v>-5.0000000000000001E-4</v>
      </c>
      <c r="K57" s="40">
        <v>2.3300000000000001E-2</v>
      </c>
      <c r="L57" s="40">
        <v>-2.4400000000000002E-2</v>
      </c>
      <c r="M57" s="40">
        <v>2.76E-2</v>
      </c>
      <c r="N57" s="40">
        <v>2.76E-2</v>
      </c>
      <c r="O57" s="15" t="s">
        <v>40</v>
      </c>
      <c r="P57" s="13">
        <v>6</v>
      </c>
      <c r="Q57" s="15">
        <v>10</v>
      </c>
      <c r="R57" s="77"/>
    </row>
    <row r="58" spans="1:18" x14ac:dyDescent="0.3">
      <c r="A58" s="10" t="s">
        <v>74</v>
      </c>
      <c r="B58" s="11" t="s">
        <v>18</v>
      </c>
      <c r="C58" s="11" t="s">
        <v>57</v>
      </c>
      <c r="D58" s="38" t="s">
        <v>73</v>
      </c>
      <c r="E58" s="39" t="s">
        <v>32</v>
      </c>
      <c r="F58" s="39" t="s">
        <v>22</v>
      </c>
      <c r="G58" s="40">
        <v>45</v>
      </c>
      <c r="H58" s="40">
        <v>3.7100000000000001E-2</v>
      </c>
      <c r="I58" s="40">
        <v>-3.7199999999999997E-2</v>
      </c>
      <c r="J58" s="40">
        <v>2E-3</v>
      </c>
      <c r="K58" s="40">
        <v>1.35E-2</v>
      </c>
      <c r="L58" s="40">
        <v>-1.4999999999999999E-2</v>
      </c>
      <c r="M58" s="40">
        <v>1.6500000000000001E-2</v>
      </c>
      <c r="N58" s="40">
        <v>1.67E-2</v>
      </c>
      <c r="O58" s="15" t="s">
        <v>23</v>
      </c>
      <c r="P58" s="13">
        <v>3</v>
      </c>
      <c r="Q58" s="15">
        <v>5</v>
      </c>
      <c r="R58" s="88"/>
    </row>
    <row r="59" spans="1:18" x14ac:dyDescent="0.3">
      <c r="A59" s="42" t="s">
        <v>76</v>
      </c>
      <c r="B59" s="43" t="s">
        <v>18</v>
      </c>
      <c r="C59" s="43" t="s">
        <v>57</v>
      </c>
      <c r="D59" s="44" t="s">
        <v>73</v>
      </c>
      <c r="E59" s="45" t="s">
        <v>32</v>
      </c>
      <c r="F59" s="45" t="s">
        <v>22</v>
      </c>
      <c r="G59" s="46">
        <v>1</v>
      </c>
      <c r="H59" s="46">
        <v>0.1</v>
      </c>
      <c r="I59" s="46">
        <v>-0.1</v>
      </c>
      <c r="J59" s="46">
        <v>-2.3E-3</v>
      </c>
      <c r="K59" s="46">
        <v>5.6000000000000001E-2</v>
      </c>
      <c r="L59" s="46">
        <v>-5.45E-2</v>
      </c>
      <c r="M59" s="46">
        <v>5.9700000000000003E-2</v>
      </c>
      <c r="N59" s="46">
        <v>5.9700000000000003E-2</v>
      </c>
      <c r="O59" s="15" t="s">
        <v>23</v>
      </c>
      <c r="P59" s="13">
        <v>10</v>
      </c>
      <c r="Q59" s="15">
        <v>10</v>
      </c>
      <c r="R59" s="88"/>
    </row>
    <row r="60" spans="1:18" x14ac:dyDescent="0.3">
      <c r="A60" s="42" t="s">
        <v>76</v>
      </c>
      <c r="B60" s="43" t="s">
        <v>18</v>
      </c>
      <c r="C60" s="43" t="s">
        <v>57</v>
      </c>
      <c r="D60" s="44" t="s">
        <v>73</v>
      </c>
      <c r="E60" s="45" t="s">
        <v>32</v>
      </c>
      <c r="F60" s="45" t="s">
        <v>22</v>
      </c>
      <c r="G60" s="46">
        <v>1</v>
      </c>
      <c r="H60" s="46">
        <v>9.9900000000000003E-2</v>
      </c>
      <c r="I60" s="46">
        <v>-9.7500000000000003E-2</v>
      </c>
      <c r="J60" s="46">
        <v>4.3E-3</v>
      </c>
      <c r="K60" s="46">
        <v>1.8499999999999999E-2</v>
      </c>
      <c r="L60" s="46">
        <v>-1.9599999999999999E-2</v>
      </c>
      <c r="M60" s="46">
        <v>2.2200000000000001E-2</v>
      </c>
      <c r="N60" s="46">
        <v>2.2599999999999999E-2</v>
      </c>
      <c r="O60" s="15" t="s">
        <v>23</v>
      </c>
      <c r="P60" s="13">
        <v>16</v>
      </c>
      <c r="Q60" s="15">
        <v>20</v>
      </c>
      <c r="R60" s="22"/>
    </row>
    <row r="61" spans="1:18" ht="15" thickBot="1" x14ac:dyDescent="0.35">
      <c r="A61" s="79" t="s">
        <v>76</v>
      </c>
      <c r="B61" s="80" t="s">
        <v>18</v>
      </c>
      <c r="C61" s="80" t="s">
        <v>57</v>
      </c>
      <c r="D61" s="81" t="s">
        <v>73</v>
      </c>
      <c r="E61" s="82" t="s">
        <v>32</v>
      </c>
      <c r="F61" s="82" t="s">
        <v>22</v>
      </c>
      <c r="G61" s="83">
        <v>5</v>
      </c>
      <c r="H61" s="83">
        <v>0.5</v>
      </c>
      <c r="I61" s="83">
        <v>-0.5</v>
      </c>
      <c r="J61" s="83">
        <v>1.5E-3</v>
      </c>
      <c r="K61" s="83">
        <v>1.78E-2</v>
      </c>
      <c r="L61" s="83">
        <v>-2.3199999999999998E-2</v>
      </c>
      <c r="M61" s="83">
        <v>2.24E-2</v>
      </c>
      <c r="N61" s="83">
        <v>2.2499999999999999E-2</v>
      </c>
      <c r="O61" s="66" t="s">
        <v>23</v>
      </c>
      <c r="P61" s="74">
        <v>25</v>
      </c>
      <c r="Q61" s="66">
        <v>36</v>
      </c>
      <c r="R61" s="67"/>
    </row>
    <row r="62" spans="1:18" ht="15" thickBot="1" x14ac:dyDescent="0.35">
      <c r="A62" s="84" t="s">
        <v>79</v>
      </c>
      <c r="B62" s="85"/>
      <c r="C62" s="85"/>
      <c r="D62" s="85"/>
      <c r="E62" s="85"/>
      <c r="F62" s="85"/>
      <c r="G62" s="85">
        <v>45</v>
      </c>
      <c r="H62" s="85">
        <v>6.7500000000000004E-2</v>
      </c>
      <c r="I62" s="85">
        <v>-7.2300000000000003E-2</v>
      </c>
      <c r="J62" s="85">
        <v>2.7000000000000001E-3</v>
      </c>
      <c r="K62" s="85">
        <v>5.0000000000000001E-3</v>
      </c>
      <c r="L62" s="85">
        <v>-5.1000000000000004E-3</v>
      </c>
      <c r="M62" s="85">
        <v>6.7000000000000002E-3</v>
      </c>
      <c r="N62" s="85">
        <v>7.1999999999999998E-3</v>
      </c>
      <c r="O62" s="85"/>
      <c r="P62" s="85"/>
      <c r="Q62" s="85"/>
      <c r="R62" s="8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data</vt:lpstr>
      <vt:lpstr>deleted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 Mafla Viscarra</dc:creator>
  <cp:keywords/>
  <dc:description/>
  <cp:lastModifiedBy>Nicolas Mafla Viscarra</cp:lastModifiedBy>
  <cp:revision/>
  <dcterms:created xsi:type="dcterms:W3CDTF">2025-01-16T04:49:43Z</dcterms:created>
  <dcterms:modified xsi:type="dcterms:W3CDTF">2026-06-08T05:42:10Z</dcterms:modified>
  <cp:category/>
  <cp:contentStatus/>
</cp:coreProperties>
</file>